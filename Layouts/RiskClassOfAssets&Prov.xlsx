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Sasra Reports\"/>
    </mc:Choice>
  </mc:AlternateContent>
  <xr:revisionPtr revIDLastSave="0" documentId="13_ncr:1_{301EB653-1D50-4AE3-829B-122BCD270E3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isk &amp; Provisioning Report" sheetId="2" r:id="rId1"/>
    <sheet name="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2" l="1"/>
  <c r="F6" i="2"/>
  <c r="F5" i="2"/>
  <c r="F3" i="2"/>
  <c r="C24" i="2" l="1"/>
  <c r="D24" i="2"/>
  <c r="F24" i="2"/>
  <c r="F16" i="2"/>
  <c r="F23" i="2"/>
  <c r="C23" i="2"/>
  <c r="D23" i="2"/>
  <c r="C16" i="2"/>
  <c r="D16" i="2"/>
  <c r="F22" i="2"/>
  <c r="F21" i="2"/>
  <c r="F20" i="2"/>
  <c r="F19" i="2"/>
  <c r="F18" i="2"/>
  <c r="F14" i="2"/>
  <c r="F11" i="2"/>
  <c r="F12" i="2"/>
  <c r="F13" i="2"/>
  <c r="F15" i="2"/>
  <c r="D22" i="2"/>
  <c r="C22" i="2"/>
  <c r="D21" i="2"/>
  <c r="C21" i="2"/>
  <c r="D20" i="2"/>
  <c r="C20" i="2"/>
  <c r="D19" i="2"/>
  <c r="C19" i="2"/>
  <c r="D18" i="2"/>
  <c r="C18" i="2"/>
  <c r="D15" i="2"/>
  <c r="D14" i="2"/>
  <c r="D13" i="2"/>
  <c r="D12" i="2"/>
  <c r="D11" i="2"/>
  <c r="C15" i="2"/>
  <c r="C14" i="2"/>
  <c r="C13" i="2"/>
  <c r="C12" i="2"/>
  <c r="C11" i="2"/>
</calcChain>
</file>

<file path=xl/sharedStrings.xml><?xml version="1.0" encoding="utf-8"?>
<sst xmlns="http://schemas.openxmlformats.org/spreadsheetml/2006/main" count="76" uniqueCount="69">
  <si>
    <t>ReportForNavId_1</t>
  </si>
  <si>
    <t>COMPANYNAME</t>
  </si>
  <si>
    <t>AsAt</t>
  </si>
  <si>
    <t>LoanCount</t>
  </si>
  <si>
    <t>LoanCountSubstandard</t>
  </si>
  <si>
    <t>LoanCountDoubtful</t>
  </si>
  <si>
    <t>LoanCountWatch</t>
  </si>
  <si>
    <t>LoanCountLoss</t>
  </si>
  <si>
    <t>OutstandingLoanPer</t>
  </si>
  <si>
    <t>OutstandingLoanwatch</t>
  </si>
  <si>
    <t>OutstandingLoandoubtful</t>
  </si>
  <si>
    <t>OutstandingLoanSub</t>
  </si>
  <si>
    <t>OutstandingLoanloss</t>
  </si>
  <si>
    <t>LoanCountResch</t>
  </si>
  <si>
    <t>OutstandingLoanPerResc</t>
  </si>
  <si>
    <t>LoanCountWatchResc</t>
  </si>
  <si>
    <t>OutstandingLoanwatchResc</t>
  </si>
  <si>
    <t>LoanCountDoubtfulResc</t>
  </si>
  <si>
    <t>OutstandingLoandoubtfulResc</t>
  </si>
  <si>
    <t>LoanCountSubstandardResc</t>
  </si>
  <si>
    <t>OutstandingLoanSubResc</t>
  </si>
  <si>
    <t>LoanCountLossRec</t>
  </si>
  <si>
    <t>OutstandingLoanlossResc</t>
  </si>
  <si>
    <t>ClassifiedNonRescheduledper</t>
  </si>
  <si>
    <t>ClassifiedNonRescheduledDoubtful</t>
  </si>
  <si>
    <t>ClassifiedNonRescheduledLoss</t>
  </si>
  <si>
    <t>ClassifiedNonRescheduledsubstandard</t>
  </si>
  <si>
    <t>ClassifiedNonRescheduledWatch</t>
  </si>
  <si>
    <t>ClassifiedRescheduledLoss</t>
  </si>
  <si>
    <t>ClassifiedRescheduledPer</t>
  </si>
  <si>
    <t>ClassifiedRescheduledSubstandard</t>
  </si>
  <si>
    <t>ClassifiedRescheduledWatch</t>
  </si>
  <si>
    <t>ClassifiedRescheduledDoubtful</t>
  </si>
  <si>
    <t>subtotal</t>
  </si>
  <si>
    <t>TotalClassffiedRecheduled</t>
  </si>
  <si>
    <t>TotalClassffied</t>
  </si>
  <si>
    <t>subtotalRescheduled</t>
  </si>
  <si>
    <t>Subtotalcount</t>
  </si>
  <si>
    <t>SubtotalcountResc</t>
  </si>
  <si>
    <t>GRANDTOTAL</t>
  </si>
  <si>
    <t>GRANDTOTALCOUNT</t>
  </si>
  <si>
    <t>GRANDTOTALCLASSIF</t>
  </si>
  <si>
    <t>YearBeginDate</t>
  </si>
  <si>
    <t>FinancialYear</t>
  </si>
  <si>
    <t>FORM 2D</t>
  </si>
  <si>
    <t>RISK CLASSIFICATION OF ASSETS AND PROVISIONING</t>
  </si>
  <si>
    <t>NAME OF SACCO SOCIETY</t>
  </si>
  <si>
    <t>SACCO SOCIETY CS NUMBER</t>
  </si>
  <si>
    <t xml:space="preserve">FINANCIAL YEAR </t>
  </si>
  <si>
    <t>START DATE:</t>
  </si>
  <si>
    <t>END DATE:</t>
  </si>
  <si>
    <t>A</t>
  </si>
  <si>
    <t>B</t>
  </si>
  <si>
    <t>C</t>
  </si>
  <si>
    <t>D</t>
  </si>
  <si>
    <t>NO.</t>
  </si>
  <si>
    <t>CLASSIFICATION</t>
  </si>
  <si>
    <t>NO. OF A/Cs</t>
  </si>
  <si>
    <t>OUTSTANDING LOAN PORTFOLIO(Kshs)</t>
  </si>
  <si>
    <t>REQUIRED PROVISION</t>
  </si>
  <si>
    <t>REQUIRED PROVISION AMOUNT(Kshs)</t>
  </si>
  <si>
    <t>Performing</t>
  </si>
  <si>
    <t>Watch</t>
  </si>
  <si>
    <t>Substandard</t>
  </si>
  <si>
    <t>Doubtful</t>
  </si>
  <si>
    <t>Loss</t>
  </si>
  <si>
    <t>Reschedule/Renegotiated loans</t>
  </si>
  <si>
    <t>GRAND TOTAL</t>
  </si>
  <si>
    <t xml:space="preserve">                                                            PORTFOLIO AGEING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</si>
</sst>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7">
    <xf numFmtId="0" fontId="0" fillId="0" borderId="0" xfId="0"/>
    <xf numFmtId="9" fontId="0" fillId="0" borderId="0" xfId="0" applyNumberFormat="1"/>
    <xf numFmtId="43" fontId="0" fillId="0" borderId="0" xfId="3" applyFont="1"/>
    <xf numFmtId="0" fontId="3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center"/>
    </xf>
    <xf numFmtId="43" fontId="3" fillId="0" borderId="0" xfId="3" applyFont="1"/>
  </cellXfs>
  <cellStyles count="4">
    <cellStyle name="Comma" xfId="3" builtinId="3"/>
    <cellStyle name="Normal" xfId="0" builtinId="0"/>
    <cellStyle name="Normal 2" xfId="1" xr:uid="{CD84B4A1-A624-4994-879C-E60433040F83}"/>
    <cellStyle name="Percent 2" xfId="2" xr:uid="{56A07E3A-5B7A-4111-87C5-D83BCC350858}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726F2-778D-4B1C-A5EA-875FED73D050}" name="Data" displayName="Data" ref="A1:AR2" insertRow="1" totalsRowShown="0" headerRowDxfId="0">
  <autoFilter ref="A1:AR2" xr:uid="{41D726F2-778D-4B1C-A5EA-875FED73D050}"/>
  <tableColumns count="44">
    <tableColumn id="1" xr3:uid="{21867904-D69E-41E3-B5BE-D9B124B8D7E4}" name="ReportForNavId_1"/>
    <tableColumn id="2" xr3:uid="{21867904-D69E-41E3-B5BE-D9B124B8D7E4}" name="COMPANYNAME"/>
    <tableColumn id="3" xr3:uid="{21867904-D69E-41E3-B5BE-D9B124B8D7E4}" name="AsAt"/>
    <tableColumn id="4" xr3:uid="{21867904-D69E-41E3-B5BE-D9B124B8D7E4}" name="LoanCount"/>
    <tableColumn id="5" xr3:uid="{21867904-D69E-41E3-B5BE-D9B124B8D7E4}" name="LoanCountSubstandard"/>
    <tableColumn id="6" xr3:uid="{21867904-D69E-41E3-B5BE-D9B124B8D7E4}" name="LoanCountDoubtful"/>
    <tableColumn id="7" xr3:uid="{21867904-D69E-41E3-B5BE-D9B124B8D7E4}" name="LoanCountWatch"/>
    <tableColumn id="8" xr3:uid="{21867904-D69E-41E3-B5BE-D9B124B8D7E4}" name="LoanCountLoss"/>
    <tableColumn id="9" xr3:uid="{21867904-D69E-41E3-B5BE-D9B124B8D7E4}" name="OutstandingLoanPer"/>
    <tableColumn id="10" xr3:uid="{21867904-D69E-41E3-B5BE-D9B124B8D7E4}" name="OutstandingLoanwatch"/>
    <tableColumn id="11" xr3:uid="{21867904-D69E-41E3-B5BE-D9B124B8D7E4}" name="OutstandingLoandoubtful"/>
    <tableColumn id="12" xr3:uid="{21867904-D69E-41E3-B5BE-D9B124B8D7E4}" name="OutstandingLoanSub"/>
    <tableColumn id="13" xr3:uid="{21867904-D69E-41E3-B5BE-D9B124B8D7E4}" name="OutstandingLoanloss"/>
    <tableColumn id="14" xr3:uid="{21867904-D69E-41E3-B5BE-D9B124B8D7E4}" name="LoanCountResch"/>
    <tableColumn id="15" xr3:uid="{21867904-D69E-41E3-B5BE-D9B124B8D7E4}" name="OutstandingLoanPerResc"/>
    <tableColumn id="16" xr3:uid="{21867904-D69E-41E3-B5BE-D9B124B8D7E4}" name="LoanCountWatchResc"/>
    <tableColumn id="17" xr3:uid="{21867904-D69E-41E3-B5BE-D9B124B8D7E4}" name="OutstandingLoanwatchResc"/>
    <tableColumn id="18" xr3:uid="{21867904-D69E-41E3-B5BE-D9B124B8D7E4}" name="LoanCountDoubtfulResc"/>
    <tableColumn id="19" xr3:uid="{21867904-D69E-41E3-B5BE-D9B124B8D7E4}" name="OutstandingLoandoubtfulResc"/>
    <tableColumn id="20" xr3:uid="{21867904-D69E-41E3-B5BE-D9B124B8D7E4}" name="LoanCountSubstandardResc"/>
    <tableColumn id="21" xr3:uid="{21867904-D69E-41E3-B5BE-D9B124B8D7E4}" name="OutstandingLoanSubResc"/>
    <tableColumn id="22" xr3:uid="{21867904-D69E-41E3-B5BE-D9B124B8D7E4}" name="LoanCountLossRec"/>
    <tableColumn id="23" xr3:uid="{21867904-D69E-41E3-B5BE-D9B124B8D7E4}" name="OutstandingLoanlossResc"/>
    <tableColumn id="24" xr3:uid="{21867904-D69E-41E3-B5BE-D9B124B8D7E4}" name="ClassifiedNonRescheduledper"/>
    <tableColumn id="25" xr3:uid="{21867904-D69E-41E3-B5BE-D9B124B8D7E4}" name="ClassifiedNonRescheduledDoubtful"/>
    <tableColumn id="26" xr3:uid="{21867904-D69E-41E3-B5BE-D9B124B8D7E4}" name="ClassifiedNonRescheduledLoss"/>
    <tableColumn id="27" xr3:uid="{21867904-D69E-41E3-B5BE-D9B124B8D7E4}" name="ClassifiedNonRescheduledsubstandard"/>
    <tableColumn id="28" xr3:uid="{21867904-D69E-41E3-B5BE-D9B124B8D7E4}" name="ClassifiedNonRescheduledWatch"/>
    <tableColumn id="29" xr3:uid="{21867904-D69E-41E3-B5BE-D9B124B8D7E4}" name="ClassifiedRescheduledLoss"/>
    <tableColumn id="30" xr3:uid="{21867904-D69E-41E3-B5BE-D9B124B8D7E4}" name="ClassifiedRescheduledPer"/>
    <tableColumn id="31" xr3:uid="{21867904-D69E-41E3-B5BE-D9B124B8D7E4}" name="ClassifiedRescheduledSubstandard"/>
    <tableColumn id="32" xr3:uid="{21867904-D69E-41E3-B5BE-D9B124B8D7E4}" name="ClassifiedRescheduledWatch"/>
    <tableColumn id="33" xr3:uid="{21867904-D69E-41E3-B5BE-D9B124B8D7E4}" name="ClassifiedRescheduledDoubtful"/>
    <tableColumn id="34" xr3:uid="{21867904-D69E-41E3-B5BE-D9B124B8D7E4}" name="subtotal"/>
    <tableColumn id="35" xr3:uid="{21867904-D69E-41E3-B5BE-D9B124B8D7E4}" name="TotalClassffiedRecheduled"/>
    <tableColumn id="36" xr3:uid="{21867904-D69E-41E3-B5BE-D9B124B8D7E4}" name="TotalClassffied"/>
    <tableColumn id="37" xr3:uid="{21867904-D69E-41E3-B5BE-D9B124B8D7E4}" name="subtotalRescheduled"/>
    <tableColumn id="38" xr3:uid="{21867904-D69E-41E3-B5BE-D9B124B8D7E4}" name="Subtotalcount"/>
    <tableColumn id="39" xr3:uid="{21867904-D69E-41E3-B5BE-D9B124B8D7E4}" name="SubtotalcountResc"/>
    <tableColumn id="40" xr3:uid="{21867904-D69E-41E3-B5BE-D9B124B8D7E4}" name="GRANDTOTAL"/>
    <tableColumn id="41" xr3:uid="{21867904-D69E-41E3-B5BE-D9B124B8D7E4}" name="GRANDTOTALCOUNT"/>
    <tableColumn id="42" xr3:uid="{21867904-D69E-41E3-B5BE-D9B124B8D7E4}" name="GRANDTOTALCLASSIF"/>
    <tableColumn id="43" xr3:uid="{21867904-D69E-41E3-B5BE-D9B124B8D7E4}" name="YearBeginDate"/>
    <tableColumn id="44" xr3:uid="{21867904-D69E-41E3-B5BE-D9B124B8D7E4}" name="Financial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FB1ED-5B3D-4B67-ABB8-F0B5BC3B8494}">
  <dimension ref="A1:F24"/>
  <sheetViews>
    <sheetView tabSelected="1" topLeftCell="B10" workbookViewId="0">
      <selection activeCell="B16" sqref="A16:XFD16"/>
    </sheetView>
  </sheetViews>
  <sheetFormatPr defaultRowHeight="14.5" x14ac:dyDescent="0.35"/>
  <cols>
    <col min="2" max="2" width="52.7265625" bestFit="1" customWidth="1"/>
    <col min="3" max="3" width="11.81640625" bestFit="1" customWidth="1"/>
    <col min="4" max="4" width="36.1796875" bestFit="1" customWidth="1"/>
    <col min="5" max="5" width="20.54296875" bestFit="1" customWidth="1"/>
    <col min="6" max="6" width="35.1796875" bestFit="1" customWidth="1"/>
  </cols>
  <sheetData>
    <row r="1" spans="1:6" x14ac:dyDescent="0.35">
      <c r="B1" t="s">
        <v>44</v>
      </c>
    </row>
    <row r="2" spans="1:6" x14ac:dyDescent="0.35">
      <c r="B2" t="s">
        <v>45</v>
      </c>
      <c r="F2" s="3"/>
    </row>
    <row r="3" spans="1:6" x14ac:dyDescent="0.35">
      <c r="B3" t="s">
        <v>46</v>
      </c>
      <c r="F3" s="4">
        <f>Data[COMPANYNAME]</f>
        <v>0</v>
      </c>
    </row>
    <row r="4" spans="1:6" x14ac:dyDescent="0.35">
      <c r="B4" t="s">
        <v>47</v>
      </c>
      <c r="F4" s="3">
        <v>2259</v>
      </c>
    </row>
    <row r="5" spans="1:6" x14ac:dyDescent="0.35">
      <c r="B5" t="s">
        <v>48</v>
      </c>
      <c r="F5" s="3">
        <f>Data[FinancialYear]</f>
        <v>0</v>
      </c>
    </row>
    <row r="6" spans="1:6" x14ac:dyDescent="0.35">
      <c r="B6" t="s">
        <v>49</v>
      </c>
      <c r="F6" s="3">
        <f>Data[YearBeginDate]</f>
        <v>0</v>
      </c>
    </row>
    <row r="7" spans="1:6" x14ac:dyDescent="0.35">
      <c r="B7" t="s">
        <v>50</v>
      </c>
      <c r="F7" s="3">
        <f>Data[AsAt]</f>
        <v>0</v>
      </c>
    </row>
    <row r="8" spans="1:6" x14ac:dyDescent="0.35">
      <c r="B8" s="5" t="s">
        <v>68</v>
      </c>
      <c r="C8" s="5"/>
      <c r="D8" s="5"/>
      <c r="E8" s="5"/>
      <c r="F8" s="5"/>
    </row>
    <row r="9" spans="1:6" s="3" customFormat="1" x14ac:dyDescent="0.35">
      <c r="C9" s="3" t="s">
        <v>51</v>
      </c>
      <c r="D9" s="3" t="s">
        <v>52</v>
      </c>
      <c r="E9" s="3" t="s">
        <v>53</v>
      </c>
      <c r="F9" s="3" t="s">
        <v>54</v>
      </c>
    </row>
    <row r="10" spans="1:6" s="3" customFormat="1" x14ac:dyDescent="0.35">
      <c r="A10" s="3" t="s">
        <v>55</v>
      </c>
      <c r="B10" s="3" t="s">
        <v>56</v>
      </c>
      <c r="C10" s="3" t="s">
        <v>57</v>
      </c>
      <c r="D10" s="3" t="s">
        <v>58</v>
      </c>
      <c r="E10" s="3" t="s">
        <v>59</v>
      </c>
      <c r="F10" s="3" t="s">
        <v>60</v>
      </c>
    </row>
    <row r="11" spans="1:6" x14ac:dyDescent="0.35">
      <c r="A11">
        <v>1</v>
      </c>
      <c r="B11" t="s">
        <v>61</v>
      </c>
      <c r="C11">
        <f>SUM(Data[LoanCount])</f>
        <v>0</v>
      </c>
      <c r="D11" s="2">
        <f>SUM(Data[OutstandingLoanPer])</f>
        <v>0</v>
      </c>
      <c r="E11" s="1">
        <v>0.01</v>
      </c>
      <c r="F11" s="2">
        <f>SUM(Data[ClassifiedNonRescheduledper])</f>
        <v>0</v>
      </c>
    </row>
    <row r="12" spans="1:6" x14ac:dyDescent="0.35">
      <c r="A12">
        <v>2</v>
      </c>
      <c r="B12" t="s">
        <v>62</v>
      </c>
      <c r="C12">
        <f>SUM(Data[LoanCountWatch])</f>
        <v>0</v>
      </c>
      <c r="D12" s="2">
        <f>SUM(Data[OutstandingLoanwatch])</f>
        <v>0</v>
      </c>
      <c r="E12" s="1">
        <v>0.05</v>
      </c>
      <c r="F12" s="2">
        <f>SUM(Data[ClassifiedNonRescheduledWatch])</f>
        <v>0</v>
      </c>
    </row>
    <row r="13" spans="1:6" x14ac:dyDescent="0.35">
      <c r="A13">
        <v>3</v>
      </c>
      <c r="B13" t="s">
        <v>63</v>
      </c>
      <c r="C13">
        <f>SUM(Data[LoanCountSubstandard])</f>
        <v>0</v>
      </c>
      <c r="D13" s="2">
        <f>SUM(Data[OutstandingLoanSub])</f>
        <v>0</v>
      </c>
      <c r="E13" s="1">
        <v>0.25</v>
      </c>
      <c r="F13" s="2">
        <f>SUM(Data[ClassifiedNonRescheduledsubstandard])</f>
        <v>0</v>
      </c>
    </row>
    <row r="14" spans="1:6" x14ac:dyDescent="0.35">
      <c r="A14">
        <v>4</v>
      </c>
      <c r="B14" t="s">
        <v>64</v>
      </c>
      <c r="C14">
        <f>SUM(Data[LoanCountDoubtful])</f>
        <v>0</v>
      </c>
      <c r="D14" s="2">
        <f>SUM(Data[OutstandingLoandoubtful])</f>
        <v>0</v>
      </c>
      <c r="E14" s="1">
        <v>0.5</v>
      </c>
      <c r="F14" s="2">
        <f>SUM(Data[ClassifiedNonRescheduledDoubtful])</f>
        <v>0</v>
      </c>
    </row>
    <row r="15" spans="1:6" x14ac:dyDescent="0.35">
      <c r="A15">
        <v>5</v>
      </c>
      <c r="B15" t="s">
        <v>65</v>
      </c>
      <c r="C15">
        <f>SUM(Data[LoanCountLoss])</f>
        <v>0</v>
      </c>
      <c r="D15" s="2">
        <f>SUM(Data[OutstandingLoanloss])</f>
        <v>0</v>
      </c>
      <c r="E15" s="1">
        <v>1</v>
      </c>
      <c r="F15" s="2">
        <f>SUM(Data[ClassifiedNonRescheduledLoss])</f>
        <v>0</v>
      </c>
    </row>
    <row r="16" spans="1:6" s="3" customFormat="1" x14ac:dyDescent="0.35">
      <c r="B16" s="3" t="s">
        <v>33</v>
      </c>
      <c r="C16" s="3">
        <f>SUM(Data[Subtotalcount])</f>
        <v>0</v>
      </c>
      <c r="D16" s="6">
        <f>SUM(Data[subtotal])</f>
        <v>0</v>
      </c>
      <c r="F16" s="6">
        <f>SUM(Data[TotalClassffied])</f>
        <v>0</v>
      </c>
    </row>
    <row r="17" spans="1:6" s="3" customFormat="1" x14ac:dyDescent="0.35">
      <c r="B17" s="3" t="s">
        <v>66</v>
      </c>
      <c r="D17" s="6"/>
      <c r="F17" s="6"/>
    </row>
    <row r="18" spans="1:6" x14ac:dyDescent="0.35">
      <c r="A18">
        <v>1</v>
      </c>
      <c r="B18" t="s">
        <v>61</v>
      </c>
      <c r="C18">
        <f>SUM(Data[LoanCountResch])</f>
        <v>0</v>
      </c>
      <c r="D18" s="2">
        <f>SUM(Data[OutstandingLoanPerResc])</f>
        <v>0</v>
      </c>
      <c r="E18" s="1">
        <v>0.01</v>
      </c>
      <c r="F18" s="2">
        <f>SUM(Data[ClassifiedRescheduledLoss])</f>
        <v>0</v>
      </c>
    </row>
    <row r="19" spans="1:6" x14ac:dyDescent="0.35">
      <c r="A19">
        <v>2</v>
      </c>
      <c r="B19" t="s">
        <v>62</v>
      </c>
      <c r="C19">
        <f>SUM(Data[LoanCountWatchResc])</f>
        <v>0</v>
      </c>
      <c r="D19" s="2">
        <f>SUM(Data[OutstandingLoanwatchResc])</f>
        <v>0</v>
      </c>
      <c r="E19" s="1">
        <v>0.05</v>
      </c>
      <c r="F19" s="2">
        <f>SUM(Data[ClassifiedRescheduledWatch])</f>
        <v>0</v>
      </c>
    </row>
    <row r="20" spans="1:6" x14ac:dyDescent="0.35">
      <c r="A20">
        <v>3</v>
      </c>
      <c r="B20" t="s">
        <v>63</v>
      </c>
      <c r="C20">
        <f>SUM(Data[LoanCountSubstandardResc])</f>
        <v>0</v>
      </c>
      <c r="D20" s="2">
        <f>SUM(Data[OutstandingLoanSubResc])</f>
        <v>0</v>
      </c>
      <c r="E20" s="1">
        <v>0.25</v>
      </c>
      <c r="F20" s="2">
        <f>SUM(Data[ClassifiedRescheduledSubstandard])</f>
        <v>0</v>
      </c>
    </row>
    <row r="21" spans="1:6" x14ac:dyDescent="0.35">
      <c r="A21">
        <v>4</v>
      </c>
      <c r="B21" t="s">
        <v>64</v>
      </c>
      <c r="C21">
        <f>SUM(Data[LoanCountDoubtfulResc])</f>
        <v>0</v>
      </c>
      <c r="D21" s="2">
        <f>SUM(Data[OutstandingLoandoubtfulResc])</f>
        <v>0</v>
      </c>
      <c r="E21" s="1">
        <v>0.5</v>
      </c>
      <c r="F21" s="2">
        <f>SUM(Data[ClassifiedRescheduledDoubtful])</f>
        <v>0</v>
      </c>
    </row>
    <row r="22" spans="1:6" x14ac:dyDescent="0.35">
      <c r="A22">
        <v>5</v>
      </c>
      <c r="B22" t="s">
        <v>65</v>
      </c>
      <c r="C22">
        <f>SUM(Data[OutstandingLoanlossResc])</f>
        <v>0</v>
      </c>
      <c r="D22" s="2">
        <f>SUM(Data[OutstandingLoanlossResc])</f>
        <v>0</v>
      </c>
      <c r="E22" s="1">
        <v>1</v>
      </c>
      <c r="F22" s="2">
        <f>SUM(Data[ClassifiedRescheduledLoss])</f>
        <v>0</v>
      </c>
    </row>
    <row r="23" spans="1:6" x14ac:dyDescent="0.35">
      <c r="B23" t="s">
        <v>33</v>
      </c>
      <c r="C23">
        <f>SUM(Data[SubtotalcountResc])</f>
        <v>0</v>
      </c>
      <c r="D23" s="2">
        <f>SUM(Data[subtotalRescheduled])</f>
        <v>0</v>
      </c>
      <c r="F23" s="2">
        <f>SUM(Data[TotalClassffiedRecheduled])</f>
        <v>0</v>
      </c>
    </row>
    <row r="24" spans="1:6" s="3" customFormat="1" x14ac:dyDescent="0.35">
      <c r="B24" s="3" t="s">
        <v>67</v>
      </c>
      <c r="C24" s="3">
        <f>SUM(Data[GRANDTOTALCOUNT])</f>
        <v>0</v>
      </c>
      <c r="D24" s="6">
        <f>SUM(Data[GRANDTOTAL])</f>
        <v>0</v>
      </c>
      <c r="F24" s="6">
        <f>SUM(Data[GRANDTOTALCLASSIF])</f>
        <v>0</v>
      </c>
    </row>
  </sheetData>
  <mergeCells count="1">
    <mergeCell ref="B8:F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"/>
  <sheetViews>
    <sheetView workbookViewId="0">
      <pane ySplit="1" topLeftCell="A2" activePane="bottomLeft" state="frozen"/>
      <selection pane="bottomLeft" activeCell="AE2" sqref="AE2"/>
    </sheetView>
  </sheetViews>
  <sheetFormatPr defaultRowHeight="14.5" x14ac:dyDescent="0.35"/>
  <cols>
    <col min="1" max="2" width="18.453125" bestFit="1" customWidth="1"/>
    <col min="3" max="3" width="7.453125" bestFit="1" customWidth="1"/>
    <col min="4" max="4" width="12.7265625" bestFit="1" customWidth="1"/>
    <col min="5" max="5" width="24.1796875" bestFit="1" customWidth="1"/>
    <col min="6" max="6" width="20.81640625" bestFit="1" customWidth="1"/>
    <col min="7" max="7" width="18.54296875" bestFit="1" customWidth="1"/>
    <col min="8" max="8" width="16.54296875" bestFit="1" customWidth="1"/>
    <col min="9" max="9" width="21.54296875" bestFit="1" customWidth="1"/>
    <col min="10" max="10" width="24" bestFit="1" customWidth="1"/>
    <col min="11" max="11" width="26.453125" bestFit="1" customWidth="1"/>
    <col min="12" max="12" width="21.81640625" bestFit="1" customWidth="1"/>
    <col min="13" max="13" width="22" bestFit="1" customWidth="1"/>
    <col min="14" max="14" width="18" bestFit="1" customWidth="1"/>
    <col min="15" max="15" width="25.7265625" bestFit="1" customWidth="1"/>
    <col min="16" max="16" width="22.7265625" bestFit="1" customWidth="1"/>
    <col min="17" max="17" width="28.1796875" bestFit="1" customWidth="1"/>
    <col min="18" max="18" width="25" bestFit="1" customWidth="1"/>
    <col min="19" max="19" width="30.54296875" bestFit="1" customWidth="1"/>
    <col min="20" max="20" width="28.26953125" bestFit="1" customWidth="1"/>
    <col min="21" max="21" width="26" bestFit="1" customWidth="1"/>
    <col min="22" max="22" width="19.81640625" bestFit="1" customWidth="1"/>
    <col min="23" max="23" width="26.1796875" bestFit="1" customWidth="1"/>
    <col min="24" max="24" width="30.54296875" bestFit="1" customWidth="1"/>
    <col min="25" max="25" width="35.54296875" bestFit="1" customWidth="1"/>
    <col min="26" max="26" width="31.26953125" bestFit="1" customWidth="1"/>
    <col min="27" max="27" width="38.7265625" bestFit="1" customWidth="1"/>
    <col min="28" max="28" width="33.453125" bestFit="1" customWidth="1"/>
    <col min="29" max="29" width="27.453125" bestFit="1" customWidth="1"/>
    <col min="30" max="30" width="26.7265625" bestFit="1" customWidth="1"/>
    <col min="31" max="31" width="35" bestFit="1" customWidth="1"/>
    <col min="32" max="32" width="29.54296875" bestFit="1" customWidth="1"/>
    <col min="33" max="33" width="31.7265625" bestFit="1" customWidth="1"/>
    <col min="34" max="34" width="10.54296875" bestFit="1" customWidth="1"/>
    <col min="35" max="35" width="27.453125" bestFit="1" customWidth="1"/>
    <col min="36" max="36" width="16.54296875" bestFit="1" customWidth="1"/>
    <col min="37" max="37" width="22.26953125" bestFit="1" customWidth="1"/>
    <col min="38" max="38" width="15.81640625" bestFit="1" customWidth="1"/>
    <col min="39" max="39" width="20" bestFit="1" customWidth="1"/>
    <col min="40" max="40" width="15.54296875" bestFit="1" customWidth="1"/>
    <col min="41" max="41" width="22.1796875" bestFit="1" customWidth="1"/>
    <col min="42" max="42" width="22.54296875" bestFit="1" customWidth="1"/>
    <col min="43" max="43" width="16.54296875" bestFit="1" customWidth="1"/>
    <col min="44" max="44" width="15.1796875" bestFit="1" customWidth="1"/>
  </cols>
  <sheetData>
    <row r="1" spans="1:4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&amp; Provisioning Report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STEPHEN MUISYO</cp:lastModifiedBy>
  <dcterms:modified xsi:type="dcterms:W3CDTF">2024-04-13T12:13:25Z</dcterms:modified>
</cp:coreProperties>
</file>