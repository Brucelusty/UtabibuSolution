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C:\Users\ADMIN\Documents\Sasra Reports\"/>
    </mc:Choice>
  </mc:AlternateContent>
  <xr:revisionPtr revIDLastSave="0" documentId="13_ncr:1_{1602BF71-BCB7-4577-BE61-0EAAB001618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C6" i="2"/>
  <c r="C5" i="2"/>
  <c r="C3" i="2"/>
  <c r="E42" i="2"/>
  <c r="D42" i="2"/>
  <c r="E40" i="2"/>
  <c r="D40" i="2"/>
  <c r="D37" i="2"/>
  <c r="E35" i="2"/>
  <c r="E37" i="2" s="1"/>
  <c r="D35" i="2"/>
  <c r="D34" i="2"/>
  <c r="E32" i="2"/>
  <c r="E34" i="2" s="1"/>
  <c r="D32" i="2"/>
  <c r="E31" i="2"/>
  <c r="D31" i="2"/>
  <c r="E22" i="2"/>
  <c r="E23" i="2" s="1"/>
  <c r="D22" i="2"/>
  <c r="D23" i="2" s="1"/>
  <c r="E21" i="2"/>
  <c r="D21" i="2"/>
  <c r="E18" i="2"/>
  <c r="D18" i="2"/>
  <c r="D16" i="2"/>
  <c r="D19" i="2" s="1"/>
  <c r="E15" i="2"/>
  <c r="E16" i="2" s="1"/>
  <c r="E19" i="2" s="1"/>
  <c r="D15" i="2"/>
  <c r="E13" i="2"/>
  <c r="D13" i="2"/>
</calcChain>
</file>

<file path=xl/sharedStrings.xml><?xml version="1.0" encoding="utf-8"?>
<sst xmlns="http://schemas.openxmlformats.org/spreadsheetml/2006/main" count="90" uniqueCount="84">
  <si>
    <t>ReportForNavId_1</t>
  </si>
  <si>
    <t>AsAt</t>
  </si>
  <si>
    <t>Date</t>
  </si>
  <si>
    <t>FinancialYear</t>
  </si>
  <si>
    <t>name</t>
  </si>
  <si>
    <t>Grossnonperformingloan</t>
  </si>
  <si>
    <t>GrossnonperformingloanLast</t>
  </si>
  <si>
    <t>Interestinsuspense</t>
  </si>
  <si>
    <t>InterestinsuspenseLast</t>
  </si>
  <si>
    <t>Totalnonperformingloan</t>
  </si>
  <si>
    <t>TotalnonperformingloanLast</t>
  </si>
  <si>
    <t>Directors</t>
  </si>
  <si>
    <t>DirectorsLast</t>
  </si>
  <si>
    <t>Employees</t>
  </si>
  <si>
    <t>EmployeesLast</t>
  </si>
  <si>
    <t>Totalinsiderloans</t>
  </si>
  <si>
    <t>TotalinsiderloansLast</t>
  </si>
  <si>
    <t>Allowanceforloanloss</t>
  </si>
  <si>
    <t>Netnonperformingloans</t>
  </si>
  <si>
    <t>AllowanceforloanlossLast</t>
  </si>
  <si>
    <t>NetnonperformingloansLast</t>
  </si>
  <si>
    <t>othercontigentliabilities</t>
  </si>
  <si>
    <t>Guaranteesandcommitments</t>
  </si>
  <si>
    <t>totalcontingentliabilities</t>
  </si>
  <si>
    <t>Corecapital</t>
  </si>
  <si>
    <t>CorecapitaltoTotalassetratio</t>
  </si>
  <si>
    <t>liquidityRatio</t>
  </si>
  <si>
    <t>CorecapitalLast</t>
  </si>
  <si>
    <t>CorecapitaltoTotalassetratioNew</t>
  </si>
  <si>
    <t>CorecapitaltoTotalassetratioNewLast</t>
  </si>
  <si>
    <t>Excess1</t>
  </si>
  <si>
    <t>Excess11</t>
  </si>
  <si>
    <t>Depositsliabilitiesratio</t>
  </si>
  <si>
    <t>DepositsliabilitiesratioLast</t>
  </si>
  <si>
    <t>CorecapitalDepositsliabilities</t>
  </si>
  <si>
    <t>CorecapitalDepositsliabilitiesLast</t>
  </si>
  <si>
    <t>xcessdeficiency</t>
  </si>
  <si>
    <t>xcessdeficiencyLast</t>
  </si>
  <si>
    <t>Ratio2</t>
  </si>
  <si>
    <t>Ratio</t>
  </si>
  <si>
    <t>ExcessLiquidity</t>
  </si>
  <si>
    <t>ExcessLiquidityLast</t>
  </si>
  <si>
    <t>Minimumstatutoryratio</t>
  </si>
  <si>
    <t>Minimumstatutoryratio2</t>
  </si>
  <si>
    <t>Minimumstatutoryratio3</t>
  </si>
  <si>
    <t>FORM 2H</t>
  </si>
  <si>
    <t>STATEMENT OF OTHER OTHER DISCLOSURES</t>
  </si>
  <si>
    <t>Name of Sacco Society</t>
  </si>
  <si>
    <t>Financial Year</t>
  </si>
  <si>
    <t>Start Date</t>
  </si>
  <si>
    <t>End Date</t>
  </si>
  <si>
    <t>OTHER DISCLOSURES</t>
  </si>
  <si>
    <t>Current Year</t>
  </si>
  <si>
    <t>Prior Year</t>
  </si>
  <si>
    <t>AMOUNT(KSHS)</t>
  </si>
  <si>
    <t>Ref: No</t>
  </si>
  <si>
    <t>NON PERFORMING LOAN AND ADVANCES</t>
  </si>
  <si>
    <t>Gross Non Performing Loan and Advances</t>
  </si>
  <si>
    <t>Less:</t>
  </si>
  <si>
    <t>Interest in Suspense</t>
  </si>
  <si>
    <t>Total Non Performing Loan and Advances(1.1-1.2)</t>
  </si>
  <si>
    <t>Allowance for Loan Loss</t>
  </si>
  <si>
    <t>Net non performing loans (1.3-1.4)</t>
  </si>
  <si>
    <t>INSIDER LOANS AND ADVANCES</t>
  </si>
  <si>
    <t>Total Insider Loans, Advances and Other Facilities</t>
  </si>
  <si>
    <t>OFF BALANCE SHEET ITEMS</t>
  </si>
  <si>
    <t>Guarantees and Commitments</t>
  </si>
  <si>
    <t>Other Contigent Liabilities</t>
  </si>
  <si>
    <t>Total Contingent Liabilities</t>
  </si>
  <si>
    <t>CAPITAL STRENGTH</t>
  </si>
  <si>
    <t>Core Capital</t>
  </si>
  <si>
    <t>Core Capital to Total  Asset Ratio</t>
  </si>
  <si>
    <t>Minimum Statutory Ratio</t>
  </si>
  <si>
    <t>Excess/deficiency (4.3-4.4)</t>
  </si>
  <si>
    <t>Core Capital /Deposits Liabilities Ratio</t>
  </si>
  <si>
    <t>Excess/deficiency (4.6-4.7)</t>
  </si>
  <si>
    <t>LIQUIDITY</t>
  </si>
  <si>
    <t>Liquidity Ratio</t>
  </si>
  <si>
    <t>Excess/deficiency (5.1-5.2)</t>
  </si>
  <si>
    <t xml:space="preserve">Note: This return should be received on or before the 15th day of the month following end of every  quarter </t>
  </si>
  <si>
    <t>We declare that this return to the best of our Knowledge and belief is correct</t>
  </si>
  <si>
    <t xml:space="preserve">Name of Authorizing Officer       _______________________Sign______________Date __________                                                                         </t>
  </si>
  <si>
    <t>Name of Countersigning Officer ______________________Sign ______________Date__________</t>
  </si>
  <si>
    <t>Sacco Society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</si>
</sst>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 * #,##0.00_ ;_ * \-#,##0.00_ ;_ * &quot;-&quot;??_ ;_ @_ "/>
    <numFmt numFmtId="168" formatCode="_(* #,##0.00_);_(* \(#,##0.00\);_(* &quot;-&quot;??_);_(@_)"/>
  </numFmts>
  <fonts count="9"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6"/>
      <color indexed="8"/>
      <name val="Cambria"/>
      <family val="1"/>
    </font>
    <font>
      <b/>
      <sz val="10"/>
      <name val="Cambria"/>
      <family val="1"/>
    </font>
    <font>
      <sz val="11"/>
      <color indexed="8"/>
      <name val="Cambria"/>
      <family val="1"/>
    </font>
    <font>
      <sz val="12"/>
      <name val="Cambria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</cellStyleXfs>
  <cellXfs count="31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4" xfId="0" applyFont="1" applyBorder="1"/>
    <xf numFmtId="0" fontId="5" fillId="0" borderId="2" xfId="0" applyFont="1" applyBorder="1" applyAlignment="1">
      <alignment horizontal="right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14" fontId="3" fillId="0" borderId="4" xfId="0" applyNumberFormat="1" applyFont="1" applyBorder="1" applyAlignment="1">
      <alignment horizontal="right"/>
    </xf>
    <xf numFmtId="0" fontId="3" fillId="0" borderId="5" xfId="0" applyFont="1" applyBorder="1"/>
    <xf numFmtId="0" fontId="3" fillId="0" borderId="0" xfId="0" applyFont="1"/>
    <xf numFmtId="0" fontId="3" fillId="0" borderId="6" xfId="0" applyFont="1" applyBorder="1"/>
    <xf numFmtId="0" fontId="3" fillId="0" borderId="7" xfId="0" applyFont="1" applyBorder="1"/>
    <xf numFmtId="0" fontId="6" fillId="0" borderId="8" xfId="0" applyFont="1" applyBorder="1" applyProtection="1">
      <protection locked="0"/>
    </xf>
    <xf numFmtId="0" fontId="4" fillId="0" borderId="4" xfId="0" applyFont="1" applyBorder="1"/>
    <xf numFmtId="168" fontId="7" fillId="0" borderId="4" xfId="1" applyNumberFormat="1" applyFont="1" applyBorder="1" applyAlignment="1"/>
    <xf numFmtId="164" fontId="4" fillId="0" borderId="4" xfId="1" applyFont="1" applyBorder="1" applyAlignment="1"/>
    <xf numFmtId="168" fontId="4" fillId="0" borderId="0" xfId="0" applyNumberFormat="1" applyFont="1"/>
    <xf numFmtId="168" fontId="8" fillId="0" borderId="0" xfId="3" applyNumberFormat="1" applyFont="1" applyFill="1" applyAlignment="1">
      <alignment horizontal="right"/>
    </xf>
    <xf numFmtId="43" fontId="4" fillId="0" borderId="0" xfId="0" applyNumberFormat="1" applyFont="1"/>
    <xf numFmtId="168" fontId="4" fillId="0" borderId="0" xfId="1" applyNumberFormat="1" applyFont="1" applyAlignment="1"/>
    <xf numFmtId="9" fontId="4" fillId="0" borderId="4" xfId="2" applyFont="1" applyBorder="1" applyAlignment="1"/>
    <xf numFmtId="9" fontId="4" fillId="0" borderId="4" xfId="0" applyNumberFormat="1" applyFont="1" applyBorder="1"/>
    <xf numFmtId="10" fontId="4" fillId="0" borderId="4" xfId="0" applyNumberFormat="1" applyFont="1" applyBorder="1"/>
    <xf numFmtId="9" fontId="4" fillId="0" borderId="0" xfId="0" applyNumberFormat="1" applyFont="1"/>
    <xf numFmtId="0" fontId="3" fillId="0" borderId="4" xfId="0" applyFont="1" applyBorder="1" applyAlignment="1">
      <alignment horizontal="left"/>
    </xf>
  </cellXfs>
  <cellStyles count="4">
    <cellStyle name="Comma" xfId="1" builtinId="3"/>
    <cellStyle name="Comma 10" xfId="3" xr:uid="{00000000-0005-0000-0000-000031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AS2" insertRow="1" totalsRowShown="0">
  <autoFilter ref="A1:AS2" xr:uid="{00000000-0009-0000-0100-000001000000}"/>
  <tableColumns count="45">
    <tableColumn id="1" xr3:uid="{00000000-0010-0000-0000-000001000000}" name="ReportForNavId_1"/>
    <tableColumn id="2" xr3:uid="{00000000-0010-0000-0000-000002000000}" name="AsAt"/>
    <tableColumn id="3" xr3:uid="{00000000-0010-0000-0000-000003000000}" name="Date"/>
    <tableColumn id="4" xr3:uid="{00000000-0010-0000-0000-000004000000}" name="FinancialYear"/>
    <tableColumn id="5" xr3:uid="{00000000-0010-0000-0000-000005000000}" name="name"/>
    <tableColumn id="6" xr3:uid="{00000000-0010-0000-0000-000006000000}" name="Grossnonperformingloan"/>
    <tableColumn id="7" xr3:uid="{00000000-0010-0000-0000-000007000000}" name="GrossnonperformingloanLast"/>
    <tableColumn id="8" xr3:uid="{00000000-0010-0000-0000-000008000000}" name="Interestinsuspense"/>
    <tableColumn id="9" xr3:uid="{00000000-0010-0000-0000-000009000000}" name="InterestinsuspenseLast"/>
    <tableColumn id="10" xr3:uid="{00000000-0010-0000-0000-00000A000000}" name="Totalnonperformingloan"/>
    <tableColumn id="11" xr3:uid="{00000000-0010-0000-0000-00000B000000}" name="TotalnonperformingloanLast"/>
    <tableColumn id="12" xr3:uid="{00000000-0010-0000-0000-00000C000000}" name="Directors"/>
    <tableColumn id="13" xr3:uid="{00000000-0010-0000-0000-00000D000000}" name="DirectorsLast"/>
    <tableColumn id="14" xr3:uid="{00000000-0010-0000-0000-00000E000000}" name="Employees"/>
    <tableColumn id="15" xr3:uid="{00000000-0010-0000-0000-00000F000000}" name="EmployeesLast"/>
    <tableColumn id="16" xr3:uid="{00000000-0010-0000-0000-000010000000}" name="Totalinsiderloans"/>
    <tableColumn id="17" xr3:uid="{00000000-0010-0000-0000-000011000000}" name="TotalinsiderloansLast"/>
    <tableColumn id="18" xr3:uid="{00000000-0010-0000-0000-000012000000}" name="Allowanceforloanloss"/>
    <tableColumn id="19" xr3:uid="{00000000-0010-0000-0000-000013000000}" name="Netnonperformingloans"/>
    <tableColumn id="20" xr3:uid="{00000000-0010-0000-0000-000014000000}" name="AllowanceforloanlossLast"/>
    <tableColumn id="21" xr3:uid="{00000000-0010-0000-0000-000015000000}" name="NetnonperformingloansLast"/>
    <tableColumn id="22" xr3:uid="{00000000-0010-0000-0000-000016000000}" name="othercontigentliabilities"/>
    <tableColumn id="23" xr3:uid="{00000000-0010-0000-0000-000017000000}" name="Guaranteesandcommitments"/>
    <tableColumn id="24" xr3:uid="{00000000-0010-0000-0000-000018000000}" name="totalcontingentliabilities"/>
    <tableColumn id="25" xr3:uid="{00000000-0010-0000-0000-000019000000}" name="Corecapital"/>
    <tableColumn id="26" xr3:uid="{00000000-0010-0000-0000-00001A000000}" name="CorecapitaltoTotalassetratio"/>
    <tableColumn id="27" xr3:uid="{00000000-0010-0000-0000-00001B000000}" name="liquidityRatio"/>
    <tableColumn id="28" xr3:uid="{00000000-0010-0000-0000-00001C000000}" name="CorecapitalLast"/>
    <tableColumn id="29" xr3:uid="{00000000-0010-0000-0000-00001D000000}" name="CorecapitaltoTotalassetratioNew"/>
    <tableColumn id="30" xr3:uid="{00000000-0010-0000-0000-00001E000000}" name="CorecapitaltoTotalassetratioNewLast"/>
    <tableColumn id="31" xr3:uid="{00000000-0010-0000-0000-00001F000000}" name="Excess1"/>
    <tableColumn id="32" xr3:uid="{00000000-0010-0000-0000-000020000000}" name="Excess11"/>
    <tableColumn id="33" xr3:uid="{00000000-0010-0000-0000-000021000000}" name="Depositsliabilitiesratio"/>
    <tableColumn id="34" xr3:uid="{00000000-0010-0000-0000-000022000000}" name="DepositsliabilitiesratioLast"/>
    <tableColumn id="35" xr3:uid="{00000000-0010-0000-0000-000023000000}" name="CorecapitalDepositsliabilities"/>
    <tableColumn id="36" xr3:uid="{00000000-0010-0000-0000-000024000000}" name="CorecapitalDepositsliabilitiesLast"/>
    <tableColumn id="37" xr3:uid="{00000000-0010-0000-0000-000025000000}" name="xcessdeficiency"/>
    <tableColumn id="38" xr3:uid="{00000000-0010-0000-0000-000026000000}" name="xcessdeficiencyLast"/>
    <tableColumn id="39" xr3:uid="{00000000-0010-0000-0000-000027000000}" name="Ratio2"/>
    <tableColumn id="40" xr3:uid="{00000000-0010-0000-0000-000028000000}" name="Ratio"/>
    <tableColumn id="41" xr3:uid="{00000000-0010-0000-0000-000029000000}" name="ExcessLiquidity"/>
    <tableColumn id="42" xr3:uid="{00000000-0010-0000-0000-00002A000000}" name="ExcessLiquidityLast"/>
    <tableColumn id="43" xr3:uid="{00000000-0010-0000-0000-00002B000000}" name="Minimumstatutoryratio"/>
    <tableColumn id="44" xr3:uid="{00000000-0010-0000-0000-00002C000000}" name="Minimumstatutoryratio2"/>
    <tableColumn id="45" xr3:uid="{00000000-0010-0000-0000-00002D000000}" name="Minimumstatutoryratio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"/>
  <sheetViews>
    <sheetView workbookViewId="0">
      <pane ySplit="1" topLeftCell="A2" activePane="bottomLeft" state="frozen"/>
      <selection pane="bottomLeft" activeCell="Z3" sqref="Z3"/>
    </sheetView>
  </sheetViews>
  <sheetFormatPr defaultColWidth="9" defaultRowHeight="14.5"/>
  <cols>
    <col min="1" max="1" width="18.453125" customWidth="1"/>
    <col min="2" max="3" width="5.7265625" customWidth="1"/>
    <col min="4" max="4" width="13.81640625" customWidth="1"/>
    <col min="5" max="5" width="6.54296875" customWidth="1"/>
    <col min="6" max="6" width="25.54296875" customWidth="1"/>
    <col min="7" max="7" width="29.453125" customWidth="1"/>
    <col min="8" max="8" width="19.54296875" customWidth="1"/>
    <col min="9" max="9" width="23.453125" customWidth="1"/>
    <col min="10" max="10" width="25" customWidth="1"/>
    <col min="11" max="11" width="28.81640625" customWidth="1"/>
    <col min="12" max="12" width="9.54296875" customWidth="1"/>
    <col min="13" max="13" width="13.453125" customWidth="1"/>
    <col min="14" max="14" width="11.453125" customWidth="1"/>
    <col min="15" max="15" width="15.26953125" customWidth="1"/>
    <col min="18" max="18" width="22" customWidth="1"/>
    <col min="19" max="19" width="24.54296875" customWidth="1"/>
    <col min="20" max="20" width="25.81640625" customWidth="1"/>
    <col min="21" max="21" width="28.453125" customWidth="1"/>
    <col min="22" max="22" width="24.7265625" customWidth="1"/>
    <col min="23" max="23" width="29.54296875" customWidth="1"/>
    <col min="24" max="24" width="25.26953125" customWidth="1"/>
    <col min="25" max="25" width="11.7265625" customWidth="1"/>
    <col min="26" max="26" width="28.54296875" customWidth="1"/>
    <col min="27" max="27" width="14" customWidth="1"/>
    <col min="28" max="28" width="15.54296875" customWidth="1"/>
    <col min="29" max="29" width="33.26953125" customWidth="1"/>
    <col min="30" max="30" width="37.1796875" customWidth="1"/>
    <col min="35" max="35" width="29.7265625" customWidth="1"/>
    <col min="36" max="36" width="33.54296875" customWidth="1"/>
    <col min="39" max="39" width="7.1796875" customWidth="1"/>
    <col min="40" max="40" width="6.1796875" customWidth="1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49"/>
  <sheetViews>
    <sheetView tabSelected="1" workbookViewId="0">
      <selection activeCell="F10" sqref="F10"/>
    </sheetView>
  </sheetViews>
  <sheetFormatPr defaultColWidth="9" defaultRowHeight="14"/>
  <cols>
    <col min="1" max="1" width="9" style="4"/>
    <col min="2" max="2" width="20.36328125" style="4" customWidth="1"/>
    <col min="3" max="3" width="48.90625" style="4" customWidth="1"/>
    <col min="4" max="4" width="18.90625" style="4" customWidth="1"/>
    <col min="5" max="5" width="18" style="4" customWidth="1"/>
    <col min="6" max="6" width="15.36328125" style="4" customWidth="1"/>
    <col min="7" max="16384" width="9" style="4"/>
  </cols>
  <sheetData>
    <row r="1" spans="2:5" s="4" customFormat="1">
      <c r="B1" s="1" t="s">
        <v>45</v>
      </c>
      <c r="C1" s="2"/>
      <c r="D1" s="2"/>
      <c r="E1" s="3"/>
    </row>
    <row r="2" spans="2:5" s="4" customFormat="1" ht="20">
      <c r="B2" s="5" t="s">
        <v>46</v>
      </c>
      <c r="C2" s="6"/>
      <c r="D2" s="6"/>
      <c r="E2" s="7"/>
    </row>
    <row r="3" spans="2:5" s="4" customFormat="1" ht="20">
      <c r="B3" s="8" t="s">
        <v>47</v>
      </c>
      <c r="C3" s="9">
        <f>Data[name]</f>
        <v>0</v>
      </c>
      <c r="D3" s="10"/>
      <c r="E3" s="11"/>
    </row>
    <row r="4" spans="2:5" s="4" customFormat="1">
      <c r="B4" s="8" t="s">
        <v>83</v>
      </c>
      <c r="C4" s="8"/>
      <c r="D4" s="8"/>
      <c r="E4" s="8"/>
    </row>
    <row r="5" spans="2:5" s="4" customFormat="1">
      <c r="B5" s="8" t="s">
        <v>48</v>
      </c>
      <c r="C5" s="12">
        <f>Data[FinancialYear]</f>
        <v>0</v>
      </c>
      <c r="D5" s="8"/>
      <c r="E5" s="8"/>
    </row>
    <row r="6" spans="2:5" s="4" customFormat="1">
      <c r="B6" s="8" t="s">
        <v>49</v>
      </c>
      <c r="C6" s="13">
        <f>Data[Date]</f>
        <v>0</v>
      </c>
      <c r="D6" s="8"/>
      <c r="E6" s="8"/>
    </row>
    <row r="7" spans="2:5" s="4" customFormat="1">
      <c r="B7" s="8" t="s">
        <v>50</v>
      </c>
      <c r="C7" s="13">
        <f>Data[AsAt]</f>
        <v>0</v>
      </c>
      <c r="D7" s="8"/>
      <c r="E7" s="8"/>
    </row>
    <row r="8" spans="2:5" s="4" customFormat="1">
      <c r="B8" s="14"/>
      <c r="C8" s="15"/>
      <c r="D8" s="14"/>
      <c r="E8" s="14"/>
    </row>
    <row r="9" spans="2:5" s="4" customFormat="1">
      <c r="B9" s="16"/>
      <c r="C9" s="15" t="s">
        <v>51</v>
      </c>
      <c r="D9" s="17" t="s">
        <v>52</v>
      </c>
      <c r="E9" s="17" t="s">
        <v>53</v>
      </c>
    </row>
    <row r="10" spans="2:5" s="4" customFormat="1">
      <c r="B10" s="17"/>
      <c r="C10" s="15"/>
      <c r="D10" s="18" t="s">
        <v>54</v>
      </c>
      <c r="E10" s="18" t="s">
        <v>54</v>
      </c>
    </row>
    <row r="11" spans="2:5" s="4" customFormat="1">
      <c r="B11" s="8" t="s">
        <v>55</v>
      </c>
      <c r="C11" s="8"/>
      <c r="D11" s="8"/>
      <c r="E11" s="8"/>
    </row>
    <row r="12" spans="2:5" s="4" customFormat="1">
      <c r="B12" s="19">
        <v>1</v>
      </c>
      <c r="C12" s="8" t="s">
        <v>56</v>
      </c>
      <c r="D12" s="19"/>
      <c r="E12" s="19"/>
    </row>
    <row r="13" spans="2:5" s="4" customFormat="1">
      <c r="B13" s="19">
        <v>1.1000000000000001</v>
      </c>
      <c r="C13" s="19" t="s">
        <v>57</v>
      </c>
      <c r="D13" s="20">
        <f>Data!F2</f>
        <v>0</v>
      </c>
      <c r="E13" s="20">
        <f>Data!G2</f>
        <v>0</v>
      </c>
    </row>
    <row r="14" spans="2:5" s="4" customFormat="1">
      <c r="B14" s="19"/>
      <c r="C14" s="19" t="s">
        <v>58</v>
      </c>
      <c r="D14" s="19"/>
      <c r="E14" s="19"/>
    </row>
    <row r="15" spans="2:5" s="4" customFormat="1">
      <c r="B15" s="19">
        <v>1.2</v>
      </c>
      <c r="C15" s="19" t="s">
        <v>59</v>
      </c>
      <c r="D15" s="21">
        <f>Data!H2</f>
        <v>0</v>
      </c>
      <c r="E15" s="21">
        <f>Data!I2</f>
        <v>0</v>
      </c>
    </row>
    <row r="16" spans="2:5" s="4" customFormat="1">
      <c r="B16" s="19">
        <v>1.3</v>
      </c>
      <c r="C16" s="19" t="s">
        <v>60</v>
      </c>
      <c r="D16" s="20">
        <f>+D13-D15</f>
        <v>0</v>
      </c>
      <c r="E16" s="20">
        <f>+E13-E15</f>
        <v>0</v>
      </c>
    </row>
    <row r="17" spans="2:6" s="4" customFormat="1">
      <c r="B17" s="19"/>
      <c r="C17" s="19" t="s">
        <v>58</v>
      </c>
      <c r="D17" s="19"/>
      <c r="E17" s="19"/>
    </row>
    <row r="18" spans="2:6" s="4" customFormat="1">
      <c r="B18" s="19">
        <v>1.4</v>
      </c>
      <c r="C18" s="19" t="s">
        <v>61</v>
      </c>
      <c r="D18" s="20">
        <f>Data!R2</f>
        <v>0</v>
      </c>
      <c r="E18" s="20">
        <f>Data!T2</f>
        <v>0</v>
      </c>
    </row>
    <row r="19" spans="2:6" s="4" customFormat="1">
      <c r="B19" s="19">
        <v>1.5</v>
      </c>
      <c r="C19" s="19" t="s">
        <v>62</v>
      </c>
      <c r="D19" s="20">
        <f>+D16-D18</f>
        <v>0</v>
      </c>
      <c r="E19" s="20">
        <f>+E16-E18</f>
        <v>0</v>
      </c>
      <c r="F19" s="22"/>
    </row>
    <row r="20" spans="2:6" s="4" customFormat="1" ht="15">
      <c r="B20" s="19">
        <v>2</v>
      </c>
      <c r="C20" s="8" t="s">
        <v>63</v>
      </c>
      <c r="D20" s="19"/>
      <c r="E20" s="19"/>
      <c r="F20" s="23"/>
    </row>
    <row r="21" spans="2:6" s="4" customFormat="1">
      <c r="B21" s="19">
        <v>2.1</v>
      </c>
      <c r="C21" s="19" t="s">
        <v>11</v>
      </c>
      <c r="D21" s="20">
        <f>Data!L2</f>
        <v>0</v>
      </c>
      <c r="E21" s="20">
        <f>Data!M2</f>
        <v>0</v>
      </c>
      <c r="F21" s="24"/>
    </row>
    <row r="22" spans="2:6" s="4" customFormat="1">
      <c r="B22" s="19">
        <v>2.2000000000000002</v>
      </c>
      <c r="C22" s="19" t="s">
        <v>13</v>
      </c>
      <c r="D22" s="20">
        <f>Data!N2</f>
        <v>0</v>
      </c>
      <c r="E22" s="21">
        <f>Data!O2</f>
        <v>0</v>
      </c>
      <c r="F22" s="25"/>
    </row>
    <row r="23" spans="2:6" s="4" customFormat="1">
      <c r="B23" s="19">
        <v>2.2999999999999998</v>
      </c>
      <c r="C23" s="19" t="s">
        <v>64</v>
      </c>
      <c r="D23" s="20">
        <f>+D22+D21</f>
        <v>0</v>
      </c>
      <c r="E23" s="20">
        <f>+E22+E21</f>
        <v>0</v>
      </c>
      <c r="F23" s="24"/>
    </row>
    <row r="24" spans="2:6" s="4" customFormat="1">
      <c r="B24" s="19"/>
      <c r="C24" s="19"/>
      <c r="E24" s="19"/>
    </row>
    <row r="25" spans="2:6" s="4" customFormat="1">
      <c r="B25" s="19">
        <v>3</v>
      </c>
      <c r="C25" s="8" t="s">
        <v>65</v>
      </c>
      <c r="D25" s="19"/>
      <c r="E25" s="19"/>
    </row>
    <row r="26" spans="2:6" s="4" customFormat="1">
      <c r="B26" s="19">
        <v>3.1</v>
      </c>
      <c r="C26" s="19" t="s">
        <v>66</v>
      </c>
      <c r="D26" s="19"/>
      <c r="E26" s="19"/>
    </row>
    <row r="27" spans="2:6" s="4" customFormat="1">
      <c r="B27" s="19">
        <v>3.2</v>
      </c>
      <c r="C27" s="19" t="s">
        <v>67</v>
      </c>
      <c r="D27" s="19"/>
      <c r="E27" s="19"/>
    </row>
    <row r="28" spans="2:6" s="4" customFormat="1">
      <c r="B28" s="19">
        <v>3.3</v>
      </c>
      <c r="C28" s="19" t="s">
        <v>68</v>
      </c>
      <c r="D28" s="19"/>
      <c r="E28" s="19"/>
    </row>
    <row r="29" spans="2:6" s="4" customFormat="1">
      <c r="B29" s="19"/>
      <c r="C29" s="19"/>
      <c r="D29" s="19"/>
      <c r="E29" s="19"/>
    </row>
    <row r="30" spans="2:6" s="4" customFormat="1">
      <c r="B30" s="19">
        <v>4</v>
      </c>
      <c r="C30" s="8" t="s">
        <v>69</v>
      </c>
      <c r="D30" s="19"/>
      <c r="E30" s="19"/>
    </row>
    <row r="31" spans="2:6" s="4" customFormat="1">
      <c r="B31" s="19">
        <v>4.0999999999999996</v>
      </c>
      <c r="C31" s="19" t="s">
        <v>70</v>
      </c>
      <c r="D31" s="20">
        <f>Data!Y2</f>
        <v>0</v>
      </c>
      <c r="E31" s="20">
        <f>Data!AB2</f>
        <v>0</v>
      </c>
    </row>
    <row r="32" spans="2:6" s="4" customFormat="1">
      <c r="B32" s="19">
        <v>4.3</v>
      </c>
      <c r="C32" s="19" t="s">
        <v>71</v>
      </c>
      <c r="D32" s="26">
        <f>Data!AC2</f>
        <v>0</v>
      </c>
      <c r="E32" s="26">
        <f>Data!AD2</f>
        <v>0</v>
      </c>
    </row>
    <row r="33" spans="2:6" s="4" customFormat="1">
      <c r="B33" s="19">
        <v>4.4000000000000004</v>
      </c>
      <c r="C33" s="19" t="s">
        <v>72</v>
      </c>
      <c r="D33" s="27">
        <v>0.08</v>
      </c>
      <c r="E33" s="27">
        <v>0.08</v>
      </c>
    </row>
    <row r="34" spans="2:6" s="4" customFormat="1">
      <c r="B34" s="19">
        <v>4.5</v>
      </c>
      <c r="C34" s="19" t="s">
        <v>73</v>
      </c>
      <c r="D34" s="26">
        <f>+D32-D33</f>
        <v>-0.08</v>
      </c>
      <c r="E34" s="26">
        <f>+E32-E33</f>
        <v>-0.08</v>
      </c>
    </row>
    <row r="35" spans="2:6" s="4" customFormat="1">
      <c r="B35" s="19">
        <v>4.5999999999999996</v>
      </c>
      <c r="C35" s="19" t="s">
        <v>74</v>
      </c>
      <c r="D35" s="26">
        <f>Data!AI2</f>
        <v>0</v>
      </c>
      <c r="E35" s="26">
        <f>Data!AJ2</f>
        <v>0</v>
      </c>
    </row>
    <row r="36" spans="2:6" s="4" customFormat="1">
      <c r="B36" s="19">
        <v>4.7</v>
      </c>
      <c r="C36" s="19" t="s">
        <v>72</v>
      </c>
      <c r="D36" s="26">
        <v>0.05</v>
      </c>
      <c r="E36" s="26">
        <v>0.08</v>
      </c>
    </row>
    <row r="37" spans="2:6" s="4" customFormat="1">
      <c r="B37" s="19">
        <v>4.8</v>
      </c>
      <c r="C37" s="19" t="s">
        <v>75</v>
      </c>
      <c r="D37" s="26">
        <f>+D35-D36</f>
        <v>-0.05</v>
      </c>
      <c r="E37" s="26">
        <f>+E35-E36</f>
        <v>-0.08</v>
      </c>
    </row>
    <row r="38" spans="2:6" s="4" customFormat="1">
      <c r="B38" s="19"/>
      <c r="C38" s="19"/>
      <c r="D38" s="28"/>
      <c r="E38" s="28"/>
    </row>
    <row r="39" spans="2:6" s="4" customFormat="1">
      <c r="B39" s="19">
        <v>5</v>
      </c>
      <c r="C39" s="8" t="s">
        <v>76</v>
      </c>
      <c r="D39" s="19"/>
      <c r="E39" s="19"/>
    </row>
    <row r="40" spans="2:6" s="4" customFormat="1">
      <c r="B40" s="19">
        <v>5.0999999999999996</v>
      </c>
      <c r="C40" s="19" t="s">
        <v>77</v>
      </c>
      <c r="D40" s="26">
        <f>Data!AN2</f>
        <v>0</v>
      </c>
      <c r="E40" s="26">
        <f>Data!AM2</f>
        <v>0</v>
      </c>
    </row>
    <row r="41" spans="2:6" s="4" customFormat="1">
      <c r="B41" s="19">
        <v>5.2</v>
      </c>
      <c r="C41" s="19" t="s">
        <v>72</v>
      </c>
      <c r="D41" s="26">
        <v>0.1</v>
      </c>
      <c r="E41" s="26">
        <v>0.1</v>
      </c>
    </row>
    <row r="42" spans="2:6" s="4" customFormat="1">
      <c r="B42" s="19">
        <v>5.3</v>
      </c>
      <c r="C42" s="19" t="s">
        <v>78</v>
      </c>
      <c r="D42" s="26">
        <f>+D40-D41</f>
        <v>-0.1</v>
      </c>
      <c r="E42" s="26">
        <f>+E40-E41</f>
        <v>-0.1</v>
      </c>
      <c r="F42" s="29"/>
    </row>
    <row r="43" spans="2:6" s="4" customFormat="1">
      <c r="B43" s="19"/>
      <c r="C43" s="19"/>
      <c r="D43" s="19"/>
      <c r="E43" s="19"/>
    </row>
    <row r="44" spans="2:6" s="4" customFormat="1">
      <c r="B44" s="19"/>
      <c r="C44" s="19"/>
      <c r="D44" s="19"/>
      <c r="E44" s="19"/>
    </row>
    <row r="45" spans="2:6" s="4" customFormat="1" ht="15" customHeight="1">
      <c r="B45" s="8" t="s">
        <v>79</v>
      </c>
      <c r="C45" s="8"/>
      <c r="D45" s="8"/>
      <c r="E45" s="8"/>
    </row>
    <row r="46" spans="2:6" s="4" customFormat="1">
      <c r="B46" s="19" t="s">
        <v>80</v>
      </c>
      <c r="C46" s="19"/>
      <c r="D46" s="19"/>
      <c r="E46" s="19"/>
    </row>
    <row r="47" spans="2:6" s="4" customFormat="1" ht="29.25" customHeight="1">
      <c r="B47" s="30" t="s">
        <v>81</v>
      </c>
      <c r="C47" s="30"/>
      <c r="D47" s="30"/>
      <c r="E47" s="30"/>
    </row>
    <row r="48" spans="2:6" s="4" customFormat="1" ht="30" customHeight="1">
      <c r="B48" s="8" t="s">
        <v>82</v>
      </c>
      <c r="C48" s="19"/>
      <c r="D48" s="19"/>
      <c r="E48" s="19"/>
    </row>
    <row r="49" spans="2:5" s="4" customFormat="1">
      <c r="B49" s="19"/>
      <c r="C49" s="19"/>
      <c r="D49" s="19"/>
      <c r="E49" s="19"/>
    </row>
  </sheetData>
  <mergeCells count="3">
    <mergeCell ref="B1:E1"/>
    <mergeCell ref="B2:E2"/>
    <mergeCell ref="B47:E4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MUISYO</cp:lastModifiedBy>
  <dcterms:created xsi:type="dcterms:W3CDTF">2023-04-13T09:35:42Z</dcterms:created>
  <dcterms:modified xsi:type="dcterms:W3CDTF">2024-04-15T19:43:58Z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DA11D53593F240298F903662127744E9</vt:lpwstr>
  </property>
  <property fmtid="{D5CDD505-2E9C-101B-9397-08002B2CF9AE}" pid="3" name="KSOProductBuildVer">
    <vt:lpwstr>1033-11.2.0.11516</vt:lpwstr>
  </property>
</Properties>
</file>