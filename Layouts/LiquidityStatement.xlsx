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Sasra Reports\"/>
    </mc:Choice>
  </mc:AlternateContent>
  <xr:revisionPtr revIDLastSave="0" documentId="13_ncr:1_{8D188DFB-3E92-4870-9254-07FA488FEEA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" sheetId="1" r:id="rId1"/>
    <sheet name="Liquidity Re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2" l="1"/>
  <c r="D41" i="2"/>
  <c r="D7" i="2"/>
  <c r="D6" i="2"/>
  <c r="D5" i="2"/>
  <c r="D3" i="2"/>
  <c r="D36" i="2" l="1"/>
  <c r="D35" i="2"/>
  <c r="D39" i="2"/>
  <c r="D34" i="2"/>
  <c r="D31" i="2"/>
  <c r="D27" i="2"/>
  <c r="D29" i="2"/>
  <c r="D28" i="2"/>
  <c r="D25" i="2"/>
  <c r="D24" i="2"/>
  <c r="D23" i="2"/>
  <c r="D21" i="2"/>
  <c r="D20" i="2"/>
  <c r="D17" i="2"/>
  <c r="D16" i="2"/>
  <c r="D14" i="2"/>
  <c r="D9" i="2"/>
  <c r="D11" i="2"/>
  <c r="D10" i="2"/>
</calcChain>
</file>

<file path=xl/sharedStrings.xml><?xml version="1.0" encoding="utf-8"?>
<sst xmlns="http://schemas.openxmlformats.org/spreadsheetml/2006/main" count="72" uniqueCount="69">
  <si>
    <t>ReportForNavId_1</t>
  </si>
  <si>
    <t>Name</t>
  </si>
  <si>
    <t>AsAt</t>
  </si>
  <si>
    <t>BeginDate</t>
  </si>
  <si>
    <t>FinancialYear</t>
  </si>
  <si>
    <t>LocalNotes</t>
  </si>
  <si>
    <t>ForeignNotes</t>
  </si>
  <si>
    <t>BalanceswithCommercialBanks</t>
  </si>
  <si>
    <t>TimeDeposits</t>
  </si>
  <si>
    <t>OverdraftsandMatured</t>
  </si>
  <si>
    <t>BalanceswithotherSaccoSocieties</t>
  </si>
  <si>
    <t>BalanceswithotherFinancialInstitutions</t>
  </si>
  <si>
    <t>BalancesDuetootherSaccosocieties</t>
  </si>
  <si>
    <t>BalancesduetoFinanciaInstitutions</t>
  </si>
  <si>
    <t>MaturedLoansandAdvances</t>
  </si>
  <si>
    <t>TreasuryBills</t>
  </si>
  <si>
    <t>TreasuryBonds</t>
  </si>
  <si>
    <t>NETLIQUIDASSETS</t>
  </si>
  <si>
    <t>MaturedLiabilities</t>
  </si>
  <si>
    <t>LiabilitiesMaturingwithin91Days</t>
  </si>
  <si>
    <t>TotalOtherliabilities</t>
  </si>
  <si>
    <t>TotalOtherliabilitiesNew</t>
  </si>
  <si>
    <t>Ratio</t>
  </si>
  <si>
    <t>Minumholding</t>
  </si>
  <si>
    <t>Excess</t>
  </si>
  <si>
    <t>FORM 2B  (r.15(1))</t>
  </si>
  <si>
    <t xml:space="preserve">                                              LIQUIDITY STATEMENT RETURN</t>
  </si>
  <si>
    <t>Name of Sacco Society:</t>
  </si>
  <si>
    <t>Sacco Society CS Number:</t>
  </si>
  <si>
    <t>Financial Year:</t>
  </si>
  <si>
    <t>Start Date:</t>
  </si>
  <si>
    <t>End Date:</t>
  </si>
  <si>
    <t>AMOUNT(KSHS)</t>
  </si>
  <si>
    <t>NOTES  AND COINS</t>
  </si>
  <si>
    <t xml:space="preserve">                                                               -  </t>
  </si>
  <si>
    <t>Local Notes and Coins</t>
  </si>
  <si>
    <t>Foreign Notes and Coins</t>
  </si>
  <si>
    <t xml:space="preserve">BANK BALANCES  </t>
  </si>
  <si>
    <t>Balances with Commercial Banks</t>
  </si>
  <si>
    <t>Less</t>
  </si>
  <si>
    <t>Time Deposits with Banks more than 90 days</t>
  </si>
  <si>
    <t>Overdrafts and Matured loans and advances from domestic banks</t>
  </si>
  <si>
    <t>BALANCES WITH FINANCIAL INSTITUTIONS OTHER THAN BANKS AND SACCO SOCIETIES</t>
  </si>
  <si>
    <t>Balances with other Sacco Societies</t>
  </si>
  <si>
    <t>Balances with other Financial Institutions other than Banks and Sacco societies</t>
  </si>
  <si>
    <t>Balances Due to other Sacco societies</t>
  </si>
  <si>
    <t>Balances due to Financial Institutions other than banks</t>
  </si>
  <si>
    <t>Matured Loans and Advances received from Financial Institutions other than banks</t>
  </si>
  <si>
    <t>GOVERNMENT SECURITIES</t>
  </si>
  <si>
    <t>Treasury Bills</t>
  </si>
  <si>
    <t>Treasury Bonds/ Bearer Bonds</t>
  </si>
  <si>
    <t>NET LIQUID ASSETS</t>
  </si>
  <si>
    <t>OTHER LIABILITIES</t>
  </si>
  <si>
    <t>Matured Liabilities</t>
  </si>
  <si>
    <t>Liabilities Maturing within 91 Days</t>
  </si>
  <si>
    <t>Total Other liabilities</t>
  </si>
  <si>
    <t>LIQUIDITY RATIO</t>
  </si>
  <si>
    <t>Net liquid assets (item 5)</t>
  </si>
  <si>
    <t>Total short term liabilities (6.3)</t>
  </si>
  <si>
    <t>Ratio of (7.1/7.2)%</t>
  </si>
  <si>
    <t>Minum holding of Liquid Assets Requirement</t>
  </si>
  <si>
    <t>Excess/Deficit (7.3 less 7.4)</t>
  </si>
  <si>
    <t>*A reconciliation for the difference to be attached on a separate sheet</t>
  </si>
  <si>
    <t>Note: This return should be received on or before the 15th day of the month following end of every quarter</t>
  </si>
  <si>
    <t>AUTHORIZATION:</t>
  </si>
  <si>
    <t xml:space="preserve"> We declare that this return, to the best of our knowledge and belief is correct.</t>
  </si>
  <si>
    <t>sign…..……………………… date ………………………</t>
  </si>
  <si>
    <t>name of authorizing officer</t>
  </si>
  <si>
    <t>name of countersigning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</si>
</sst>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.00_);_(* \(#,##0.00\);_(* \-??_);_(@_)"/>
    <numFmt numFmtId="166" formatCode="d/mmm/yy"/>
    <numFmt numFmtId="167" formatCode="\£#,##0;&quot;-£&quot;#,##0"/>
    <numFmt numFmtId="168" formatCode="_-* #,##0.00_-;\-* #,##0.00_-;_-* \-??_-;_-@_-"/>
  </numFmts>
  <fonts count="14"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10"/>
      <name val="Lohit Hindi"/>
      <family val="2"/>
    </font>
    <font>
      <sz val="11"/>
      <color indexed="62"/>
      <name val="Arial"/>
      <family val="2"/>
    </font>
    <font>
      <sz val="11"/>
      <color indexed="8"/>
      <name val="Calibri"/>
      <family val="2"/>
    </font>
    <font>
      <sz val="8"/>
      <color indexed="8"/>
      <name val="Trebuchet MS"/>
      <family val="2"/>
    </font>
    <font>
      <b/>
      <sz val="11"/>
      <color indexed="8"/>
      <name val="Arial"/>
      <family val="2"/>
    </font>
    <font>
      <sz val="11"/>
      <name val="Calibri"/>
      <family val="2"/>
      <scheme val="minor"/>
    </font>
    <font>
      <sz val="11"/>
      <name val="Cambria"/>
      <family val="1"/>
    </font>
    <font>
      <b/>
      <sz val="11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21">
    <xf numFmtId="0" fontId="0" fillId="0" borderId="0"/>
    <xf numFmtId="0" fontId="2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2" applyNumberFormat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6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7" fontId="6" fillId="0" borderId="0" applyFill="0" applyBorder="0" applyAlignment="0" applyProtection="0"/>
    <xf numFmtId="165" fontId="6" fillId="0" borderId="0" applyFill="0" applyBorder="0" applyAlignment="0" applyProtection="0"/>
    <xf numFmtId="168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8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0" fontId="7" fillId="6" borderId="1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7" borderId="3" applyNumberFormat="0" applyAlignment="0" applyProtection="0"/>
    <xf numFmtId="9" fontId="1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">
    <xf numFmtId="0" fontId="0" fillId="0" borderId="0" xfId="0"/>
    <xf numFmtId="0" fontId="12" fillId="0" borderId="0" xfId="0" applyFont="1"/>
    <xf numFmtId="49" fontId="13" fillId="0" borderId="0" xfId="0" applyNumberFormat="1" applyFont="1" applyAlignment="1">
      <alignment horizontal="right"/>
    </xf>
    <xf numFmtId="0" fontId="13" fillId="0" borderId="0" xfId="0" applyFont="1"/>
    <xf numFmtId="14" fontId="13" fillId="0" borderId="0" xfId="0" applyNumberFormat="1" applyFont="1"/>
    <xf numFmtId="164" fontId="12" fillId="8" borderId="0" xfId="419" applyFont="1" applyFill="1" applyAlignment="1"/>
    <xf numFmtId="164" fontId="12" fillId="0" borderId="0" xfId="419" applyFont="1" applyAlignment="1"/>
    <xf numFmtId="9" fontId="12" fillId="0" borderId="0" xfId="0" applyNumberFormat="1" applyFont="1"/>
    <xf numFmtId="164" fontId="13" fillId="8" borderId="0" xfId="419" applyFont="1" applyFill="1" applyAlignment="1"/>
    <xf numFmtId="164" fontId="13" fillId="0" borderId="0" xfId="419" applyFont="1" applyFill="1" applyAlignment="1"/>
    <xf numFmtId="164" fontId="13" fillId="0" borderId="0" xfId="419" applyFont="1" applyAlignment="1"/>
    <xf numFmtId="9" fontId="12" fillId="0" borderId="0" xfId="420" applyFont="1"/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421">
    <cellStyle name="60% - Accent2 2" xfId="2" xr:uid="{00000000-0005-0000-0000-000000000000}"/>
    <cellStyle name="Accent1 2" xfId="3" xr:uid="{00000000-0005-0000-0000-000001000000}"/>
    <cellStyle name="Accent1 2 10" xfId="4" xr:uid="{00000000-0005-0000-0000-000002000000}"/>
    <cellStyle name="Accent1 2 11" xfId="5" xr:uid="{00000000-0005-0000-0000-000003000000}"/>
    <cellStyle name="Accent1 2 12" xfId="6" xr:uid="{00000000-0005-0000-0000-000004000000}"/>
    <cellStyle name="Accent1 2 2" xfId="7" xr:uid="{00000000-0005-0000-0000-000005000000}"/>
    <cellStyle name="Accent1 2 3" xfId="8" xr:uid="{00000000-0005-0000-0000-000006000000}"/>
    <cellStyle name="Accent1 2 4" xfId="9" xr:uid="{00000000-0005-0000-0000-000007000000}"/>
    <cellStyle name="Accent1 2 5" xfId="10" xr:uid="{00000000-0005-0000-0000-000008000000}"/>
    <cellStyle name="Accent1 2 6" xfId="11" xr:uid="{00000000-0005-0000-0000-000009000000}"/>
    <cellStyle name="Accent1 2 7" xfId="12" xr:uid="{00000000-0005-0000-0000-00000A000000}"/>
    <cellStyle name="Accent1 2 8" xfId="13" xr:uid="{00000000-0005-0000-0000-00000B000000}"/>
    <cellStyle name="Accent1 2 9" xfId="14" xr:uid="{00000000-0005-0000-0000-00000C000000}"/>
    <cellStyle name="Accent5 2" xfId="15" xr:uid="{00000000-0005-0000-0000-00000D000000}"/>
    <cellStyle name="Accent5 2 10" xfId="16" xr:uid="{00000000-0005-0000-0000-00000E000000}"/>
    <cellStyle name="Accent5 2 11" xfId="17" xr:uid="{00000000-0005-0000-0000-00000F000000}"/>
    <cellStyle name="Accent5 2 12" xfId="18" xr:uid="{00000000-0005-0000-0000-000010000000}"/>
    <cellStyle name="Accent5 2 2" xfId="19" xr:uid="{00000000-0005-0000-0000-000011000000}"/>
    <cellStyle name="Accent5 2 3" xfId="20" xr:uid="{00000000-0005-0000-0000-000012000000}"/>
    <cellStyle name="Accent5 2 4" xfId="21" xr:uid="{00000000-0005-0000-0000-000013000000}"/>
    <cellStyle name="Accent5 2 5" xfId="22" xr:uid="{00000000-0005-0000-0000-000014000000}"/>
    <cellStyle name="Accent5 2 6" xfId="23" xr:uid="{00000000-0005-0000-0000-000015000000}"/>
    <cellStyle name="Accent5 2 7" xfId="24" xr:uid="{00000000-0005-0000-0000-000016000000}"/>
    <cellStyle name="Accent5 2 8" xfId="25" xr:uid="{00000000-0005-0000-0000-000017000000}"/>
    <cellStyle name="Accent5 2 9" xfId="26" xr:uid="{00000000-0005-0000-0000-000018000000}"/>
    <cellStyle name="Check Cell 2" xfId="27" xr:uid="{00000000-0005-0000-0000-000019000000}"/>
    <cellStyle name="Comma" xfId="419" builtinId="3"/>
    <cellStyle name="Comma 10" xfId="29" xr:uid="{00000000-0005-0000-0000-00001B000000}"/>
    <cellStyle name="Comma 10 10" xfId="30" xr:uid="{00000000-0005-0000-0000-00001C000000}"/>
    <cellStyle name="Comma 10 11" xfId="31" xr:uid="{00000000-0005-0000-0000-00001D000000}"/>
    <cellStyle name="Comma 10 12" xfId="32" xr:uid="{00000000-0005-0000-0000-00001E000000}"/>
    <cellStyle name="Comma 10 13" xfId="33" xr:uid="{00000000-0005-0000-0000-00001F000000}"/>
    <cellStyle name="Comma 10 14" xfId="34" xr:uid="{00000000-0005-0000-0000-000020000000}"/>
    <cellStyle name="Comma 10 15" xfId="35" xr:uid="{00000000-0005-0000-0000-000021000000}"/>
    <cellStyle name="Comma 10 16" xfId="36" xr:uid="{00000000-0005-0000-0000-000022000000}"/>
    <cellStyle name="Comma 10 2" xfId="37" xr:uid="{00000000-0005-0000-0000-000023000000}"/>
    <cellStyle name="Comma 10 3" xfId="38" xr:uid="{00000000-0005-0000-0000-000024000000}"/>
    <cellStyle name="Comma 10 4" xfId="39" xr:uid="{00000000-0005-0000-0000-000025000000}"/>
    <cellStyle name="Comma 10 5" xfId="40" xr:uid="{00000000-0005-0000-0000-000026000000}"/>
    <cellStyle name="Comma 10 6" xfId="41" xr:uid="{00000000-0005-0000-0000-000027000000}"/>
    <cellStyle name="Comma 10 7" xfId="42" xr:uid="{00000000-0005-0000-0000-000028000000}"/>
    <cellStyle name="Comma 10 8" xfId="43" xr:uid="{00000000-0005-0000-0000-000029000000}"/>
    <cellStyle name="Comma 10 9" xfId="44" xr:uid="{00000000-0005-0000-0000-00002A000000}"/>
    <cellStyle name="Comma 11" xfId="45" xr:uid="{00000000-0005-0000-0000-00002B000000}"/>
    <cellStyle name="Comma 11 10" xfId="46" xr:uid="{00000000-0005-0000-0000-00002C000000}"/>
    <cellStyle name="Comma 11 11" xfId="47" xr:uid="{00000000-0005-0000-0000-00002D000000}"/>
    <cellStyle name="Comma 11 12" xfId="48" xr:uid="{00000000-0005-0000-0000-00002E000000}"/>
    <cellStyle name="Comma 11 13" xfId="49" xr:uid="{00000000-0005-0000-0000-00002F000000}"/>
    <cellStyle name="Comma 11 14" xfId="50" xr:uid="{00000000-0005-0000-0000-000030000000}"/>
    <cellStyle name="Comma 11 15" xfId="51" xr:uid="{00000000-0005-0000-0000-000031000000}"/>
    <cellStyle name="Comma 11 16" xfId="52" xr:uid="{00000000-0005-0000-0000-000032000000}"/>
    <cellStyle name="Comma 11 17" xfId="53" xr:uid="{00000000-0005-0000-0000-000033000000}"/>
    <cellStyle name="Comma 11 2" xfId="54" xr:uid="{00000000-0005-0000-0000-000034000000}"/>
    <cellStyle name="Comma 11 2 2" xfId="55" xr:uid="{00000000-0005-0000-0000-000035000000}"/>
    <cellStyle name="Comma 11 3" xfId="56" xr:uid="{00000000-0005-0000-0000-000036000000}"/>
    <cellStyle name="Comma 11 4" xfId="57" xr:uid="{00000000-0005-0000-0000-000037000000}"/>
    <cellStyle name="Comma 11 5" xfId="58" xr:uid="{00000000-0005-0000-0000-000038000000}"/>
    <cellStyle name="Comma 11 6" xfId="59" xr:uid="{00000000-0005-0000-0000-000039000000}"/>
    <cellStyle name="Comma 11 7" xfId="60" xr:uid="{00000000-0005-0000-0000-00003A000000}"/>
    <cellStyle name="Comma 11 8" xfId="61" xr:uid="{00000000-0005-0000-0000-00003B000000}"/>
    <cellStyle name="Comma 11 9" xfId="62" xr:uid="{00000000-0005-0000-0000-00003C000000}"/>
    <cellStyle name="Comma 12" xfId="63" xr:uid="{00000000-0005-0000-0000-00003D000000}"/>
    <cellStyle name="Comma 13" xfId="64" xr:uid="{00000000-0005-0000-0000-00003E000000}"/>
    <cellStyle name="Comma 14" xfId="65" xr:uid="{00000000-0005-0000-0000-00003F000000}"/>
    <cellStyle name="Comma 15" xfId="66" xr:uid="{00000000-0005-0000-0000-000040000000}"/>
    <cellStyle name="Comma 16" xfId="67" xr:uid="{00000000-0005-0000-0000-000041000000}"/>
    <cellStyle name="Comma 16 10" xfId="68" xr:uid="{00000000-0005-0000-0000-000042000000}"/>
    <cellStyle name="Comma 16 11" xfId="69" xr:uid="{00000000-0005-0000-0000-000043000000}"/>
    <cellStyle name="Comma 16 12" xfId="70" xr:uid="{00000000-0005-0000-0000-000044000000}"/>
    <cellStyle name="Comma 16 13" xfId="71" xr:uid="{00000000-0005-0000-0000-000045000000}"/>
    <cellStyle name="Comma 16 14" xfId="72" xr:uid="{00000000-0005-0000-0000-000046000000}"/>
    <cellStyle name="Comma 16 15" xfId="73" xr:uid="{00000000-0005-0000-0000-000047000000}"/>
    <cellStyle name="Comma 16 16" xfId="74" xr:uid="{00000000-0005-0000-0000-000048000000}"/>
    <cellStyle name="Comma 16 2" xfId="75" xr:uid="{00000000-0005-0000-0000-000049000000}"/>
    <cellStyle name="Comma 16 3" xfId="76" xr:uid="{00000000-0005-0000-0000-00004A000000}"/>
    <cellStyle name="Comma 16 4" xfId="77" xr:uid="{00000000-0005-0000-0000-00004B000000}"/>
    <cellStyle name="Comma 16 5" xfId="78" xr:uid="{00000000-0005-0000-0000-00004C000000}"/>
    <cellStyle name="Comma 16 6" xfId="79" xr:uid="{00000000-0005-0000-0000-00004D000000}"/>
    <cellStyle name="Comma 16 7" xfId="80" xr:uid="{00000000-0005-0000-0000-00004E000000}"/>
    <cellStyle name="Comma 16 8" xfId="81" xr:uid="{00000000-0005-0000-0000-00004F000000}"/>
    <cellStyle name="Comma 16 9" xfId="82" xr:uid="{00000000-0005-0000-0000-000050000000}"/>
    <cellStyle name="Comma 17" xfId="83" xr:uid="{00000000-0005-0000-0000-000051000000}"/>
    <cellStyle name="Comma 17 10" xfId="84" xr:uid="{00000000-0005-0000-0000-000052000000}"/>
    <cellStyle name="Comma 17 2" xfId="85" xr:uid="{00000000-0005-0000-0000-000053000000}"/>
    <cellStyle name="Comma 17 3" xfId="86" xr:uid="{00000000-0005-0000-0000-000054000000}"/>
    <cellStyle name="Comma 17 4" xfId="87" xr:uid="{00000000-0005-0000-0000-000055000000}"/>
    <cellStyle name="Comma 17 5" xfId="88" xr:uid="{00000000-0005-0000-0000-000056000000}"/>
    <cellStyle name="Comma 17 6" xfId="89" xr:uid="{00000000-0005-0000-0000-000057000000}"/>
    <cellStyle name="Comma 17 7" xfId="90" xr:uid="{00000000-0005-0000-0000-000058000000}"/>
    <cellStyle name="Comma 17 8" xfId="91" xr:uid="{00000000-0005-0000-0000-000059000000}"/>
    <cellStyle name="Comma 17 9" xfId="92" xr:uid="{00000000-0005-0000-0000-00005A000000}"/>
    <cellStyle name="Comma 18" xfId="28" xr:uid="{00000000-0005-0000-0000-00005B000000}"/>
    <cellStyle name="Comma 2" xfId="93" xr:uid="{00000000-0005-0000-0000-00005C000000}"/>
    <cellStyle name="Comma 2 10" xfId="94" xr:uid="{00000000-0005-0000-0000-00005D000000}"/>
    <cellStyle name="Comma 2 11" xfId="95" xr:uid="{00000000-0005-0000-0000-00005E000000}"/>
    <cellStyle name="Comma 2 12" xfId="96" xr:uid="{00000000-0005-0000-0000-00005F000000}"/>
    <cellStyle name="Comma 2 13" xfId="97" xr:uid="{00000000-0005-0000-0000-000060000000}"/>
    <cellStyle name="Comma 2 14" xfId="98" xr:uid="{00000000-0005-0000-0000-000061000000}"/>
    <cellStyle name="Comma 2 15" xfId="99" xr:uid="{00000000-0005-0000-0000-000062000000}"/>
    <cellStyle name="Comma 2 16" xfId="100" xr:uid="{00000000-0005-0000-0000-000063000000}"/>
    <cellStyle name="Comma 2 17" xfId="101" xr:uid="{00000000-0005-0000-0000-000064000000}"/>
    <cellStyle name="Comma 2 18" xfId="102" xr:uid="{00000000-0005-0000-0000-000065000000}"/>
    <cellStyle name="Comma 2 19" xfId="103" xr:uid="{00000000-0005-0000-0000-000066000000}"/>
    <cellStyle name="Comma 2 2" xfId="104" xr:uid="{00000000-0005-0000-0000-000067000000}"/>
    <cellStyle name="Comma 2 20" xfId="105" xr:uid="{00000000-0005-0000-0000-000068000000}"/>
    <cellStyle name="Comma 2 21" xfId="106" xr:uid="{00000000-0005-0000-0000-000069000000}"/>
    <cellStyle name="Comma 2 22" xfId="107" xr:uid="{00000000-0005-0000-0000-00006A000000}"/>
    <cellStyle name="Comma 2 23" xfId="108" xr:uid="{00000000-0005-0000-0000-00006B000000}"/>
    <cellStyle name="Comma 2 24" xfId="109" xr:uid="{00000000-0005-0000-0000-00006C000000}"/>
    <cellStyle name="Comma 2 25" xfId="110" xr:uid="{00000000-0005-0000-0000-00006D000000}"/>
    <cellStyle name="Comma 2 26" xfId="111" xr:uid="{00000000-0005-0000-0000-00006E000000}"/>
    <cellStyle name="Comma 2 3" xfId="112" xr:uid="{00000000-0005-0000-0000-00006F000000}"/>
    <cellStyle name="Comma 2 4" xfId="113" xr:uid="{00000000-0005-0000-0000-000070000000}"/>
    <cellStyle name="Comma 2 5" xfId="114" xr:uid="{00000000-0005-0000-0000-000071000000}"/>
    <cellStyle name="Comma 2 6" xfId="115" xr:uid="{00000000-0005-0000-0000-000072000000}"/>
    <cellStyle name="Comma 2 7" xfId="116" xr:uid="{00000000-0005-0000-0000-000073000000}"/>
    <cellStyle name="Comma 2 8" xfId="117" xr:uid="{00000000-0005-0000-0000-000074000000}"/>
    <cellStyle name="Comma 2 9" xfId="118" xr:uid="{00000000-0005-0000-0000-000075000000}"/>
    <cellStyle name="Comma 24" xfId="119" xr:uid="{00000000-0005-0000-0000-000076000000}"/>
    <cellStyle name="Comma 3" xfId="120" xr:uid="{00000000-0005-0000-0000-000077000000}"/>
    <cellStyle name="Comma 3 10" xfId="121" xr:uid="{00000000-0005-0000-0000-000078000000}"/>
    <cellStyle name="Comma 3 11" xfId="122" xr:uid="{00000000-0005-0000-0000-000079000000}"/>
    <cellStyle name="Comma 3 12" xfId="123" xr:uid="{00000000-0005-0000-0000-00007A000000}"/>
    <cellStyle name="Comma 3 13" xfId="124" xr:uid="{00000000-0005-0000-0000-00007B000000}"/>
    <cellStyle name="Comma 3 14" xfId="125" xr:uid="{00000000-0005-0000-0000-00007C000000}"/>
    <cellStyle name="Comma 3 15" xfId="126" xr:uid="{00000000-0005-0000-0000-00007D000000}"/>
    <cellStyle name="Comma 3 16" xfId="127" xr:uid="{00000000-0005-0000-0000-00007E000000}"/>
    <cellStyle name="Comma 3 17" xfId="128" xr:uid="{00000000-0005-0000-0000-00007F000000}"/>
    <cellStyle name="Comma 3 18" xfId="129" xr:uid="{00000000-0005-0000-0000-000080000000}"/>
    <cellStyle name="Comma 3 19" xfId="130" xr:uid="{00000000-0005-0000-0000-000081000000}"/>
    <cellStyle name="Comma 3 2" xfId="131" xr:uid="{00000000-0005-0000-0000-000082000000}"/>
    <cellStyle name="Comma 3 20" xfId="132" xr:uid="{00000000-0005-0000-0000-000083000000}"/>
    <cellStyle name="Comma 3 3" xfId="133" xr:uid="{00000000-0005-0000-0000-000084000000}"/>
    <cellStyle name="Comma 3 4" xfId="134" xr:uid="{00000000-0005-0000-0000-000085000000}"/>
    <cellStyle name="Comma 3 5" xfId="135" xr:uid="{00000000-0005-0000-0000-000086000000}"/>
    <cellStyle name="Comma 3 6" xfId="136" xr:uid="{00000000-0005-0000-0000-000087000000}"/>
    <cellStyle name="Comma 3 7" xfId="137" xr:uid="{00000000-0005-0000-0000-000088000000}"/>
    <cellStyle name="Comma 3 8" xfId="138" xr:uid="{00000000-0005-0000-0000-000089000000}"/>
    <cellStyle name="Comma 3 9" xfId="139" xr:uid="{00000000-0005-0000-0000-00008A000000}"/>
    <cellStyle name="Comma 4" xfId="140" xr:uid="{00000000-0005-0000-0000-00008B000000}"/>
    <cellStyle name="Comma 5" xfId="141" xr:uid="{00000000-0005-0000-0000-00008C000000}"/>
    <cellStyle name="Comma 5 10" xfId="142" xr:uid="{00000000-0005-0000-0000-00008D000000}"/>
    <cellStyle name="Comma 5 11" xfId="143" xr:uid="{00000000-0005-0000-0000-00008E000000}"/>
    <cellStyle name="Comma 5 12" xfId="144" xr:uid="{00000000-0005-0000-0000-00008F000000}"/>
    <cellStyle name="Comma 5 13" xfId="145" xr:uid="{00000000-0005-0000-0000-000090000000}"/>
    <cellStyle name="Comma 5 14" xfId="146" xr:uid="{00000000-0005-0000-0000-000091000000}"/>
    <cellStyle name="Comma 5 15" xfId="147" xr:uid="{00000000-0005-0000-0000-000092000000}"/>
    <cellStyle name="Comma 5 16" xfId="148" xr:uid="{00000000-0005-0000-0000-000093000000}"/>
    <cellStyle name="Comma 5 17" xfId="149" xr:uid="{00000000-0005-0000-0000-000094000000}"/>
    <cellStyle name="Comma 5 18" xfId="150" xr:uid="{00000000-0005-0000-0000-000095000000}"/>
    <cellStyle name="Comma 5 19" xfId="151" xr:uid="{00000000-0005-0000-0000-000096000000}"/>
    <cellStyle name="Comma 5 2" xfId="152" xr:uid="{00000000-0005-0000-0000-000097000000}"/>
    <cellStyle name="Comma 5 20" xfId="153" xr:uid="{00000000-0005-0000-0000-000098000000}"/>
    <cellStyle name="Comma 5 3" xfId="154" xr:uid="{00000000-0005-0000-0000-000099000000}"/>
    <cellStyle name="Comma 5 4" xfId="155" xr:uid="{00000000-0005-0000-0000-00009A000000}"/>
    <cellStyle name="Comma 5 5" xfId="156" xr:uid="{00000000-0005-0000-0000-00009B000000}"/>
    <cellStyle name="Comma 5 6" xfId="157" xr:uid="{00000000-0005-0000-0000-00009C000000}"/>
    <cellStyle name="Comma 5 7" xfId="158" xr:uid="{00000000-0005-0000-0000-00009D000000}"/>
    <cellStyle name="Comma 5 8" xfId="159" xr:uid="{00000000-0005-0000-0000-00009E000000}"/>
    <cellStyle name="Comma 5 9" xfId="160" xr:uid="{00000000-0005-0000-0000-00009F000000}"/>
    <cellStyle name="Comma 6" xfId="161" xr:uid="{00000000-0005-0000-0000-0000A0000000}"/>
    <cellStyle name="Comma 6 10" xfId="162" xr:uid="{00000000-0005-0000-0000-0000A1000000}"/>
    <cellStyle name="Comma 6 11" xfId="163" xr:uid="{00000000-0005-0000-0000-0000A2000000}"/>
    <cellStyle name="Comma 6 12" xfId="164" xr:uid="{00000000-0005-0000-0000-0000A3000000}"/>
    <cellStyle name="Comma 6 13" xfId="165" xr:uid="{00000000-0005-0000-0000-0000A4000000}"/>
    <cellStyle name="Comma 6 14" xfId="166" xr:uid="{00000000-0005-0000-0000-0000A5000000}"/>
    <cellStyle name="Comma 6 15" xfId="167" xr:uid="{00000000-0005-0000-0000-0000A6000000}"/>
    <cellStyle name="Comma 6 16" xfId="168" xr:uid="{00000000-0005-0000-0000-0000A7000000}"/>
    <cellStyle name="Comma 6 17" xfId="169" xr:uid="{00000000-0005-0000-0000-0000A8000000}"/>
    <cellStyle name="Comma 6 18" xfId="170" xr:uid="{00000000-0005-0000-0000-0000A9000000}"/>
    <cellStyle name="Comma 6 19" xfId="171" xr:uid="{00000000-0005-0000-0000-0000AA000000}"/>
    <cellStyle name="Comma 6 2" xfId="172" xr:uid="{00000000-0005-0000-0000-0000AB000000}"/>
    <cellStyle name="Comma 6 3" xfId="173" xr:uid="{00000000-0005-0000-0000-0000AC000000}"/>
    <cellStyle name="Comma 6 4" xfId="174" xr:uid="{00000000-0005-0000-0000-0000AD000000}"/>
    <cellStyle name="Comma 6 5" xfId="175" xr:uid="{00000000-0005-0000-0000-0000AE000000}"/>
    <cellStyle name="Comma 6 6" xfId="176" xr:uid="{00000000-0005-0000-0000-0000AF000000}"/>
    <cellStyle name="Comma 6 7" xfId="177" xr:uid="{00000000-0005-0000-0000-0000B0000000}"/>
    <cellStyle name="Comma 6 8" xfId="178" xr:uid="{00000000-0005-0000-0000-0000B1000000}"/>
    <cellStyle name="Comma 6 9" xfId="179" xr:uid="{00000000-0005-0000-0000-0000B2000000}"/>
    <cellStyle name="Comma 7" xfId="180" xr:uid="{00000000-0005-0000-0000-0000B3000000}"/>
    <cellStyle name="Comma 7 10" xfId="181" xr:uid="{00000000-0005-0000-0000-0000B4000000}"/>
    <cellStyle name="Comma 7 11" xfId="182" xr:uid="{00000000-0005-0000-0000-0000B5000000}"/>
    <cellStyle name="Comma 7 12" xfId="183" xr:uid="{00000000-0005-0000-0000-0000B6000000}"/>
    <cellStyle name="Comma 7 13" xfId="184" xr:uid="{00000000-0005-0000-0000-0000B7000000}"/>
    <cellStyle name="Comma 7 14" xfId="185" xr:uid="{00000000-0005-0000-0000-0000B8000000}"/>
    <cellStyle name="Comma 7 15" xfId="186" xr:uid="{00000000-0005-0000-0000-0000B9000000}"/>
    <cellStyle name="Comma 7 16" xfId="187" xr:uid="{00000000-0005-0000-0000-0000BA000000}"/>
    <cellStyle name="Comma 7 17" xfId="188" xr:uid="{00000000-0005-0000-0000-0000BB000000}"/>
    <cellStyle name="Comma 7 18" xfId="189" xr:uid="{00000000-0005-0000-0000-0000BC000000}"/>
    <cellStyle name="Comma 7 19" xfId="190" xr:uid="{00000000-0005-0000-0000-0000BD000000}"/>
    <cellStyle name="Comma 7 2" xfId="191" xr:uid="{00000000-0005-0000-0000-0000BE000000}"/>
    <cellStyle name="Comma 7 3" xfId="192" xr:uid="{00000000-0005-0000-0000-0000BF000000}"/>
    <cellStyle name="Comma 7 4" xfId="193" xr:uid="{00000000-0005-0000-0000-0000C0000000}"/>
    <cellStyle name="Comma 7 5" xfId="194" xr:uid="{00000000-0005-0000-0000-0000C1000000}"/>
    <cellStyle name="Comma 7 6" xfId="195" xr:uid="{00000000-0005-0000-0000-0000C2000000}"/>
    <cellStyle name="Comma 7 7" xfId="196" xr:uid="{00000000-0005-0000-0000-0000C3000000}"/>
    <cellStyle name="Comma 7 8" xfId="197" xr:uid="{00000000-0005-0000-0000-0000C4000000}"/>
    <cellStyle name="Comma 7 9" xfId="198" xr:uid="{00000000-0005-0000-0000-0000C5000000}"/>
    <cellStyle name="Comma 8" xfId="199" xr:uid="{00000000-0005-0000-0000-0000C6000000}"/>
    <cellStyle name="Comma 8 10" xfId="200" xr:uid="{00000000-0005-0000-0000-0000C7000000}"/>
    <cellStyle name="Comma 8 11" xfId="201" xr:uid="{00000000-0005-0000-0000-0000C8000000}"/>
    <cellStyle name="Comma 8 12" xfId="202" xr:uid="{00000000-0005-0000-0000-0000C9000000}"/>
    <cellStyle name="Comma 8 13" xfId="203" xr:uid="{00000000-0005-0000-0000-0000CA000000}"/>
    <cellStyle name="Comma 8 14" xfId="204" xr:uid="{00000000-0005-0000-0000-0000CB000000}"/>
    <cellStyle name="Comma 8 15" xfId="205" xr:uid="{00000000-0005-0000-0000-0000CC000000}"/>
    <cellStyle name="Comma 8 16" xfId="206" xr:uid="{00000000-0005-0000-0000-0000CD000000}"/>
    <cellStyle name="Comma 8 17" xfId="207" xr:uid="{00000000-0005-0000-0000-0000CE000000}"/>
    <cellStyle name="Comma 8 18" xfId="208" xr:uid="{00000000-0005-0000-0000-0000CF000000}"/>
    <cellStyle name="Comma 8 19" xfId="209" xr:uid="{00000000-0005-0000-0000-0000D0000000}"/>
    <cellStyle name="Comma 8 2" xfId="210" xr:uid="{00000000-0005-0000-0000-0000D1000000}"/>
    <cellStyle name="Comma 8 3" xfId="211" xr:uid="{00000000-0005-0000-0000-0000D2000000}"/>
    <cellStyle name="Comma 8 4" xfId="212" xr:uid="{00000000-0005-0000-0000-0000D3000000}"/>
    <cellStyle name="Comma 8 5" xfId="213" xr:uid="{00000000-0005-0000-0000-0000D4000000}"/>
    <cellStyle name="Comma 8 6" xfId="214" xr:uid="{00000000-0005-0000-0000-0000D5000000}"/>
    <cellStyle name="Comma 8 7" xfId="215" xr:uid="{00000000-0005-0000-0000-0000D6000000}"/>
    <cellStyle name="Comma 8 8" xfId="216" xr:uid="{00000000-0005-0000-0000-0000D7000000}"/>
    <cellStyle name="Comma 8 9" xfId="217" xr:uid="{00000000-0005-0000-0000-0000D8000000}"/>
    <cellStyle name="Comma 9" xfId="218" xr:uid="{00000000-0005-0000-0000-0000D9000000}"/>
    <cellStyle name="Comma 9 10" xfId="219" xr:uid="{00000000-0005-0000-0000-0000DA000000}"/>
    <cellStyle name="Comma 9 11" xfId="220" xr:uid="{00000000-0005-0000-0000-0000DB000000}"/>
    <cellStyle name="Comma 9 12" xfId="221" xr:uid="{00000000-0005-0000-0000-0000DC000000}"/>
    <cellStyle name="Comma 9 13" xfId="222" xr:uid="{00000000-0005-0000-0000-0000DD000000}"/>
    <cellStyle name="Comma 9 14" xfId="223" xr:uid="{00000000-0005-0000-0000-0000DE000000}"/>
    <cellStyle name="Comma 9 15" xfId="224" xr:uid="{00000000-0005-0000-0000-0000DF000000}"/>
    <cellStyle name="Comma 9 16" xfId="225" xr:uid="{00000000-0005-0000-0000-0000E0000000}"/>
    <cellStyle name="Comma 9 17" xfId="226" xr:uid="{00000000-0005-0000-0000-0000E1000000}"/>
    <cellStyle name="Comma 9 18" xfId="227" xr:uid="{00000000-0005-0000-0000-0000E2000000}"/>
    <cellStyle name="Comma 9 19" xfId="228" xr:uid="{00000000-0005-0000-0000-0000E3000000}"/>
    <cellStyle name="Comma 9 2" xfId="229" xr:uid="{00000000-0005-0000-0000-0000E4000000}"/>
    <cellStyle name="Comma 9 3" xfId="230" xr:uid="{00000000-0005-0000-0000-0000E5000000}"/>
    <cellStyle name="Comma 9 4" xfId="231" xr:uid="{00000000-0005-0000-0000-0000E6000000}"/>
    <cellStyle name="Comma 9 5" xfId="232" xr:uid="{00000000-0005-0000-0000-0000E7000000}"/>
    <cellStyle name="Comma 9 6" xfId="233" xr:uid="{00000000-0005-0000-0000-0000E8000000}"/>
    <cellStyle name="Comma 9 7" xfId="234" xr:uid="{00000000-0005-0000-0000-0000E9000000}"/>
    <cellStyle name="Comma 9 8" xfId="235" xr:uid="{00000000-0005-0000-0000-0000EA000000}"/>
    <cellStyle name="Comma 9 9" xfId="236" xr:uid="{00000000-0005-0000-0000-0000EB000000}"/>
    <cellStyle name="Input 2" xfId="237" xr:uid="{00000000-0005-0000-0000-0000EC000000}"/>
    <cellStyle name="Normal" xfId="0" builtinId="0"/>
    <cellStyle name="Normal 10" xfId="238" xr:uid="{00000000-0005-0000-0000-0000EE000000}"/>
    <cellStyle name="Normal 10 2" xfId="239" xr:uid="{00000000-0005-0000-0000-0000EF000000}"/>
    <cellStyle name="Normal 10 3" xfId="240" xr:uid="{00000000-0005-0000-0000-0000F0000000}"/>
    <cellStyle name="Normal 10 4" xfId="241" xr:uid="{00000000-0005-0000-0000-0000F1000000}"/>
    <cellStyle name="Normal 10 5" xfId="242" xr:uid="{00000000-0005-0000-0000-0000F2000000}"/>
    <cellStyle name="Normal 11" xfId="243" xr:uid="{00000000-0005-0000-0000-0000F3000000}"/>
    <cellStyle name="Normal 12" xfId="244" xr:uid="{00000000-0005-0000-0000-0000F4000000}"/>
    <cellStyle name="Normal 12 2" xfId="245" xr:uid="{00000000-0005-0000-0000-0000F5000000}"/>
    <cellStyle name="Normal 12 3" xfId="246" xr:uid="{00000000-0005-0000-0000-0000F6000000}"/>
    <cellStyle name="Normal 12 4" xfId="247" xr:uid="{00000000-0005-0000-0000-0000F7000000}"/>
    <cellStyle name="Normal 12 5" xfId="248" xr:uid="{00000000-0005-0000-0000-0000F8000000}"/>
    <cellStyle name="Normal 13" xfId="249" xr:uid="{00000000-0005-0000-0000-0000F9000000}"/>
    <cellStyle name="Normal 13 2" xfId="250" xr:uid="{00000000-0005-0000-0000-0000FA000000}"/>
    <cellStyle name="Normal 13 3" xfId="251" xr:uid="{00000000-0005-0000-0000-0000FB000000}"/>
    <cellStyle name="Normal 13 4" xfId="252" xr:uid="{00000000-0005-0000-0000-0000FC000000}"/>
    <cellStyle name="Normal 13 5" xfId="253" xr:uid="{00000000-0005-0000-0000-0000FD000000}"/>
    <cellStyle name="Normal 14" xfId="254" xr:uid="{00000000-0005-0000-0000-0000FE000000}"/>
    <cellStyle name="Normal 14 10" xfId="255" xr:uid="{00000000-0005-0000-0000-0000FF000000}"/>
    <cellStyle name="Normal 14 11" xfId="256" xr:uid="{00000000-0005-0000-0000-000000010000}"/>
    <cellStyle name="Normal 14 12" xfId="257" xr:uid="{00000000-0005-0000-0000-000001010000}"/>
    <cellStyle name="Normal 14 2" xfId="258" xr:uid="{00000000-0005-0000-0000-000002010000}"/>
    <cellStyle name="Normal 14 3" xfId="259" xr:uid="{00000000-0005-0000-0000-000003010000}"/>
    <cellStyle name="Normal 14 4" xfId="260" xr:uid="{00000000-0005-0000-0000-000004010000}"/>
    <cellStyle name="Normal 14 5" xfId="261" xr:uid="{00000000-0005-0000-0000-000005010000}"/>
    <cellStyle name="Normal 14 6" xfId="262" xr:uid="{00000000-0005-0000-0000-000006010000}"/>
    <cellStyle name="Normal 14 7" xfId="263" xr:uid="{00000000-0005-0000-0000-000007010000}"/>
    <cellStyle name="Normal 14 8" xfId="264" xr:uid="{00000000-0005-0000-0000-000008010000}"/>
    <cellStyle name="Normal 14 9" xfId="265" xr:uid="{00000000-0005-0000-0000-000009010000}"/>
    <cellStyle name="Normal 16" xfId="266" xr:uid="{00000000-0005-0000-0000-00000A010000}"/>
    <cellStyle name="Normal 17" xfId="267" xr:uid="{00000000-0005-0000-0000-00000B010000}"/>
    <cellStyle name="Normal 17 2" xfId="268" xr:uid="{00000000-0005-0000-0000-00000C010000}"/>
    <cellStyle name="Normal 17 3" xfId="269" xr:uid="{00000000-0005-0000-0000-00000D010000}"/>
    <cellStyle name="Normal 17 4" xfId="270" xr:uid="{00000000-0005-0000-0000-00000E010000}"/>
    <cellStyle name="Normal 17 5" xfId="271" xr:uid="{00000000-0005-0000-0000-00000F010000}"/>
    <cellStyle name="Normal 2" xfId="272" xr:uid="{00000000-0005-0000-0000-000010010000}"/>
    <cellStyle name="Normal 2 10" xfId="273" xr:uid="{00000000-0005-0000-0000-000011010000}"/>
    <cellStyle name="Normal 2 11" xfId="274" xr:uid="{00000000-0005-0000-0000-000012010000}"/>
    <cellStyle name="Normal 2 12" xfId="275" xr:uid="{00000000-0005-0000-0000-000013010000}"/>
    <cellStyle name="Normal 2 13" xfId="276" xr:uid="{00000000-0005-0000-0000-000014010000}"/>
    <cellStyle name="Normal 2 14" xfId="277" xr:uid="{00000000-0005-0000-0000-000015010000}"/>
    <cellStyle name="Normal 2 15" xfId="278" xr:uid="{00000000-0005-0000-0000-000016010000}"/>
    <cellStyle name="Normal 2 16" xfId="279" xr:uid="{00000000-0005-0000-0000-000017010000}"/>
    <cellStyle name="Normal 2 17" xfId="280" xr:uid="{00000000-0005-0000-0000-000018010000}"/>
    <cellStyle name="Normal 2 18" xfId="281" xr:uid="{00000000-0005-0000-0000-000019010000}"/>
    <cellStyle name="Normal 2 19" xfId="282" xr:uid="{00000000-0005-0000-0000-00001A010000}"/>
    <cellStyle name="Normal 2 2" xfId="283" xr:uid="{00000000-0005-0000-0000-00001B010000}"/>
    <cellStyle name="Normal 2 20" xfId="284" xr:uid="{00000000-0005-0000-0000-00001C010000}"/>
    <cellStyle name="Normal 2 3" xfId="285" xr:uid="{00000000-0005-0000-0000-00001D010000}"/>
    <cellStyle name="Normal 2 4" xfId="286" xr:uid="{00000000-0005-0000-0000-00001E010000}"/>
    <cellStyle name="Normal 2 5" xfId="287" xr:uid="{00000000-0005-0000-0000-00001F010000}"/>
    <cellStyle name="Normal 2 6" xfId="288" xr:uid="{00000000-0005-0000-0000-000020010000}"/>
    <cellStyle name="Normal 2 7" xfId="289" xr:uid="{00000000-0005-0000-0000-000021010000}"/>
    <cellStyle name="Normal 2 8" xfId="290" xr:uid="{00000000-0005-0000-0000-000022010000}"/>
    <cellStyle name="Normal 2 9" xfId="291" xr:uid="{00000000-0005-0000-0000-000023010000}"/>
    <cellStyle name="Normal 2_deposits mobilized" xfId="292" xr:uid="{00000000-0005-0000-0000-000024010000}"/>
    <cellStyle name="Normal 21" xfId="293" xr:uid="{00000000-0005-0000-0000-000025010000}"/>
    <cellStyle name="Normal 21 10" xfId="294" xr:uid="{00000000-0005-0000-0000-000026010000}"/>
    <cellStyle name="Normal 21 11" xfId="295" xr:uid="{00000000-0005-0000-0000-000027010000}"/>
    <cellStyle name="Normal 21 12" xfId="296" xr:uid="{00000000-0005-0000-0000-000028010000}"/>
    <cellStyle name="Normal 21 13" xfId="297" xr:uid="{00000000-0005-0000-0000-000029010000}"/>
    <cellStyle name="Normal 21 14" xfId="298" xr:uid="{00000000-0005-0000-0000-00002A010000}"/>
    <cellStyle name="Normal 21 15" xfId="299" xr:uid="{00000000-0005-0000-0000-00002B010000}"/>
    <cellStyle name="Normal 21 16" xfId="300" xr:uid="{00000000-0005-0000-0000-00002C010000}"/>
    <cellStyle name="Normal 21 2" xfId="301" xr:uid="{00000000-0005-0000-0000-00002D010000}"/>
    <cellStyle name="Normal 21 3" xfId="302" xr:uid="{00000000-0005-0000-0000-00002E010000}"/>
    <cellStyle name="Normal 21 4" xfId="303" xr:uid="{00000000-0005-0000-0000-00002F010000}"/>
    <cellStyle name="Normal 21 5" xfId="304" xr:uid="{00000000-0005-0000-0000-000030010000}"/>
    <cellStyle name="Normal 21 6" xfId="305" xr:uid="{00000000-0005-0000-0000-000031010000}"/>
    <cellStyle name="Normal 21 7" xfId="306" xr:uid="{00000000-0005-0000-0000-000032010000}"/>
    <cellStyle name="Normal 21 8" xfId="307" xr:uid="{00000000-0005-0000-0000-000033010000}"/>
    <cellStyle name="Normal 21 9" xfId="308" xr:uid="{00000000-0005-0000-0000-000034010000}"/>
    <cellStyle name="Normal 22" xfId="309" xr:uid="{00000000-0005-0000-0000-000035010000}"/>
    <cellStyle name="Normal 26" xfId="310" xr:uid="{00000000-0005-0000-0000-000036010000}"/>
    <cellStyle name="Normal 27" xfId="311" xr:uid="{00000000-0005-0000-0000-000037010000}"/>
    <cellStyle name="Normal 3" xfId="312" xr:uid="{00000000-0005-0000-0000-000038010000}"/>
    <cellStyle name="Normal 3 10" xfId="313" xr:uid="{00000000-0005-0000-0000-000039010000}"/>
    <cellStyle name="Normal 3 11" xfId="314" xr:uid="{00000000-0005-0000-0000-00003A010000}"/>
    <cellStyle name="Normal 3 12" xfId="315" xr:uid="{00000000-0005-0000-0000-00003B010000}"/>
    <cellStyle name="Normal 3 13" xfId="316" xr:uid="{00000000-0005-0000-0000-00003C010000}"/>
    <cellStyle name="Normal 3 14" xfId="317" xr:uid="{00000000-0005-0000-0000-00003D010000}"/>
    <cellStyle name="Normal 3 15" xfId="318" xr:uid="{00000000-0005-0000-0000-00003E010000}"/>
    <cellStyle name="Normal 3 16" xfId="319" xr:uid="{00000000-0005-0000-0000-00003F010000}"/>
    <cellStyle name="Normal 3 17" xfId="320" xr:uid="{00000000-0005-0000-0000-000040010000}"/>
    <cellStyle name="Normal 3 18" xfId="321" xr:uid="{00000000-0005-0000-0000-000041010000}"/>
    <cellStyle name="Normal 3 19" xfId="322" xr:uid="{00000000-0005-0000-0000-000042010000}"/>
    <cellStyle name="Normal 3 2" xfId="323" xr:uid="{00000000-0005-0000-0000-000043010000}"/>
    <cellStyle name="Normal 3 20" xfId="324" xr:uid="{00000000-0005-0000-0000-000044010000}"/>
    <cellStyle name="Normal 3 21" xfId="325" xr:uid="{00000000-0005-0000-0000-000045010000}"/>
    <cellStyle name="Normal 3 22" xfId="326" xr:uid="{00000000-0005-0000-0000-000046010000}"/>
    <cellStyle name="Normal 3 23" xfId="327" xr:uid="{00000000-0005-0000-0000-000047010000}"/>
    <cellStyle name="Normal 3 24" xfId="328" xr:uid="{00000000-0005-0000-0000-000048010000}"/>
    <cellStyle name="Normal 3 25" xfId="329" xr:uid="{00000000-0005-0000-0000-000049010000}"/>
    <cellStyle name="Normal 3 26" xfId="330" xr:uid="{00000000-0005-0000-0000-00004A010000}"/>
    <cellStyle name="Normal 3 27" xfId="331" xr:uid="{00000000-0005-0000-0000-00004B010000}"/>
    <cellStyle name="Normal 3 28" xfId="332" xr:uid="{00000000-0005-0000-0000-00004C010000}"/>
    <cellStyle name="Normal 3 29" xfId="333" xr:uid="{00000000-0005-0000-0000-00004D010000}"/>
    <cellStyle name="Normal 3 3" xfId="334" xr:uid="{00000000-0005-0000-0000-00004E010000}"/>
    <cellStyle name="Normal 3 30" xfId="335" xr:uid="{00000000-0005-0000-0000-00004F010000}"/>
    <cellStyle name="Normal 3 4" xfId="336" xr:uid="{00000000-0005-0000-0000-000050010000}"/>
    <cellStyle name="Normal 3 5" xfId="337" xr:uid="{00000000-0005-0000-0000-000051010000}"/>
    <cellStyle name="Normal 3 6" xfId="338" xr:uid="{00000000-0005-0000-0000-000052010000}"/>
    <cellStyle name="Normal 3 7" xfId="339" xr:uid="{00000000-0005-0000-0000-000053010000}"/>
    <cellStyle name="Normal 3 8" xfId="340" xr:uid="{00000000-0005-0000-0000-000054010000}"/>
    <cellStyle name="Normal 3 9" xfId="341" xr:uid="{00000000-0005-0000-0000-000055010000}"/>
    <cellStyle name="Normal 3_deposits mobilized" xfId="342" xr:uid="{00000000-0005-0000-0000-000056010000}"/>
    <cellStyle name="Normal 4" xfId="343" xr:uid="{00000000-0005-0000-0000-000057010000}"/>
    <cellStyle name="Normal 4 10" xfId="344" xr:uid="{00000000-0005-0000-0000-000058010000}"/>
    <cellStyle name="Normal 4 11" xfId="345" xr:uid="{00000000-0005-0000-0000-000059010000}"/>
    <cellStyle name="Normal 4 12" xfId="346" xr:uid="{00000000-0005-0000-0000-00005A010000}"/>
    <cellStyle name="Normal 4 13" xfId="347" xr:uid="{00000000-0005-0000-0000-00005B010000}"/>
    <cellStyle name="Normal 4 14" xfId="348" xr:uid="{00000000-0005-0000-0000-00005C010000}"/>
    <cellStyle name="Normal 4 15" xfId="349" xr:uid="{00000000-0005-0000-0000-00005D010000}"/>
    <cellStyle name="Normal 4 16" xfId="350" xr:uid="{00000000-0005-0000-0000-00005E010000}"/>
    <cellStyle name="Normal 4 17" xfId="351" xr:uid="{00000000-0005-0000-0000-00005F010000}"/>
    <cellStyle name="Normal 4 18" xfId="352" xr:uid="{00000000-0005-0000-0000-000060010000}"/>
    <cellStyle name="Normal 4 19" xfId="353" xr:uid="{00000000-0005-0000-0000-000061010000}"/>
    <cellStyle name="Normal 4 2" xfId="354" xr:uid="{00000000-0005-0000-0000-000062010000}"/>
    <cellStyle name="Normal 4 20" xfId="355" xr:uid="{00000000-0005-0000-0000-000063010000}"/>
    <cellStyle name="Normal 4 21" xfId="356" xr:uid="{00000000-0005-0000-0000-000064010000}"/>
    <cellStyle name="Normal 4 22" xfId="357" xr:uid="{00000000-0005-0000-0000-000065010000}"/>
    <cellStyle name="Normal 4 23" xfId="358" xr:uid="{00000000-0005-0000-0000-000066010000}"/>
    <cellStyle name="Normal 4 24" xfId="359" xr:uid="{00000000-0005-0000-0000-000067010000}"/>
    <cellStyle name="Normal 4 25" xfId="360" xr:uid="{00000000-0005-0000-0000-000068010000}"/>
    <cellStyle name="Normal 4 26" xfId="361" xr:uid="{00000000-0005-0000-0000-000069010000}"/>
    <cellStyle name="Normal 4 27" xfId="362" xr:uid="{00000000-0005-0000-0000-00006A010000}"/>
    <cellStyle name="Normal 4 28" xfId="363" xr:uid="{00000000-0005-0000-0000-00006B010000}"/>
    <cellStyle name="Normal 4 29" xfId="364" xr:uid="{00000000-0005-0000-0000-00006C010000}"/>
    <cellStyle name="Normal 4 3" xfId="365" xr:uid="{00000000-0005-0000-0000-00006D010000}"/>
    <cellStyle name="Normal 4 30" xfId="366" xr:uid="{00000000-0005-0000-0000-00006E010000}"/>
    <cellStyle name="Normal 4 4" xfId="367" xr:uid="{00000000-0005-0000-0000-00006F010000}"/>
    <cellStyle name="Normal 4 5" xfId="368" xr:uid="{00000000-0005-0000-0000-000070010000}"/>
    <cellStyle name="Normal 4 6" xfId="369" xr:uid="{00000000-0005-0000-0000-000071010000}"/>
    <cellStyle name="Normal 4 7" xfId="370" xr:uid="{00000000-0005-0000-0000-000072010000}"/>
    <cellStyle name="Normal 4 8" xfId="371" xr:uid="{00000000-0005-0000-0000-000073010000}"/>
    <cellStyle name="Normal 4 9" xfId="372" xr:uid="{00000000-0005-0000-0000-000074010000}"/>
    <cellStyle name="Normal 5" xfId="373" xr:uid="{00000000-0005-0000-0000-000075010000}"/>
    <cellStyle name="Normal 5 10" xfId="374" xr:uid="{00000000-0005-0000-0000-000076010000}"/>
    <cellStyle name="Normal 5 11" xfId="375" xr:uid="{00000000-0005-0000-0000-000077010000}"/>
    <cellStyle name="Normal 5 12" xfId="376" xr:uid="{00000000-0005-0000-0000-000078010000}"/>
    <cellStyle name="Normal 5 13" xfId="377" xr:uid="{00000000-0005-0000-0000-000079010000}"/>
    <cellStyle name="Normal 5 14" xfId="378" xr:uid="{00000000-0005-0000-0000-00007A010000}"/>
    <cellStyle name="Normal 5 15" xfId="379" xr:uid="{00000000-0005-0000-0000-00007B010000}"/>
    <cellStyle name="Normal 5 2" xfId="380" xr:uid="{00000000-0005-0000-0000-00007C010000}"/>
    <cellStyle name="Normal 5 3" xfId="381" xr:uid="{00000000-0005-0000-0000-00007D010000}"/>
    <cellStyle name="Normal 5 4" xfId="382" xr:uid="{00000000-0005-0000-0000-00007E010000}"/>
    <cellStyle name="Normal 5 5" xfId="383" xr:uid="{00000000-0005-0000-0000-00007F010000}"/>
    <cellStyle name="Normal 5 6" xfId="384" xr:uid="{00000000-0005-0000-0000-000080010000}"/>
    <cellStyle name="Normal 5 7" xfId="385" xr:uid="{00000000-0005-0000-0000-000081010000}"/>
    <cellStyle name="Normal 5 8" xfId="386" xr:uid="{00000000-0005-0000-0000-000082010000}"/>
    <cellStyle name="Normal 5 9" xfId="387" xr:uid="{00000000-0005-0000-0000-000083010000}"/>
    <cellStyle name="Normal 6" xfId="388" xr:uid="{00000000-0005-0000-0000-000084010000}"/>
    <cellStyle name="Normal 6 2" xfId="389" xr:uid="{00000000-0005-0000-0000-000085010000}"/>
    <cellStyle name="Normal 6 3" xfId="390" xr:uid="{00000000-0005-0000-0000-000086010000}"/>
    <cellStyle name="Normal 6 4" xfId="391" xr:uid="{00000000-0005-0000-0000-000087010000}"/>
    <cellStyle name="Normal 7" xfId="1" xr:uid="{00000000-0005-0000-0000-000088010000}"/>
    <cellStyle name="Normal 7 2" xfId="392" xr:uid="{00000000-0005-0000-0000-000089010000}"/>
    <cellStyle name="Normal 7 3" xfId="393" xr:uid="{00000000-0005-0000-0000-00008A010000}"/>
    <cellStyle name="Normal 7 4" xfId="394" xr:uid="{00000000-0005-0000-0000-00008B010000}"/>
    <cellStyle name="Normal 8" xfId="395" xr:uid="{00000000-0005-0000-0000-00008C010000}"/>
    <cellStyle name="Normal 9" xfId="396" xr:uid="{00000000-0005-0000-0000-00008D010000}"/>
    <cellStyle name="Normal 9 10" xfId="397" xr:uid="{00000000-0005-0000-0000-00008E010000}"/>
    <cellStyle name="Normal 9 11" xfId="398" xr:uid="{00000000-0005-0000-0000-00008F010000}"/>
    <cellStyle name="Normal 9 12" xfId="399" xr:uid="{00000000-0005-0000-0000-000090010000}"/>
    <cellStyle name="Normal 9 13" xfId="400" xr:uid="{00000000-0005-0000-0000-000091010000}"/>
    <cellStyle name="Normal 9 14" xfId="401" xr:uid="{00000000-0005-0000-0000-000092010000}"/>
    <cellStyle name="Normal 9 2" xfId="402" xr:uid="{00000000-0005-0000-0000-000093010000}"/>
    <cellStyle name="Normal 9 2 2" xfId="403" xr:uid="{00000000-0005-0000-0000-000094010000}"/>
    <cellStyle name="Normal 9 2 3" xfId="404" xr:uid="{00000000-0005-0000-0000-000095010000}"/>
    <cellStyle name="Normal 9 2 4" xfId="405" xr:uid="{00000000-0005-0000-0000-000096010000}"/>
    <cellStyle name="Normal 9 3" xfId="406" xr:uid="{00000000-0005-0000-0000-000097010000}"/>
    <cellStyle name="Normal 9 4" xfId="407" xr:uid="{00000000-0005-0000-0000-000098010000}"/>
    <cellStyle name="Normal 9 5" xfId="408" xr:uid="{00000000-0005-0000-0000-000099010000}"/>
    <cellStyle name="Normal 9 6" xfId="409" xr:uid="{00000000-0005-0000-0000-00009A010000}"/>
    <cellStyle name="Normal 9 7" xfId="410" xr:uid="{00000000-0005-0000-0000-00009B010000}"/>
    <cellStyle name="Normal 9 8" xfId="411" xr:uid="{00000000-0005-0000-0000-00009C010000}"/>
    <cellStyle name="Normal 9 9" xfId="412" xr:uid="{00000000-0005-0000-0000-00009D010000}"/>
    <cellStyle name="Note 2" xfId="413" xr:uid="{00000000-0005-0000-0000-00009E010000}"/>
    <cellStyle name="Percent" xfId="420" builtinId="5"/>
    <cellStyle name="Percent 2" xfId="415" xr:uid="{00000000-0005-0000-0000-00009F010000}"/>
    <cellStyle name="Percent 3" xfId="416" xr:uid="{00000000-0005-0000-0000-0000A0010000}"/>
    <cellStyle name="Percent 4" xfId="414" xr:uid="{00000000-0005-0000-0000-0000A1010000}"/>
    <cellStyle name="Total 2" xfId="417" xr:uid="{00000000-0005-0000-0000-0000A2010000}"/>
    <cellStyle name="Total 2 2" xfId="418" xr:uid="{00000000-0005-0000-0000-0000A3010000}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Y2" insertRow="1" totalsRowShown="0" headerRowDxfId="0">
  <autoFilter ref="A1:Y2" xr:uid="{00000000-0009-0000-0100-000001000000}"/>
  <tableColumns count="25">
    <tableColumn id="1" xr3:uid="{00000000-0010-0000-0000-000001000000}" name="ReportForNavId_1"/>
    <tableColumn id="2" xr3:uid="{00000000-0010-0000-0000-000002000000}" name="Name"/>
    <tableColumn id="3" xr3:uid="{00000000-0010-0000-0000-000003000000}" name="AsAt"/>
    <tableColumn id="4" xr3:uid="{00000000-0010-0000-0000-000004000000}" name="BeginDate"/>
    <tableColumn id="5" xr3:uid="{00000000-0010-0000-0000-000005000000}" name="FinancialYear"/>
    <tableColumn id="6" xr3:uid="{00000000-0010-0000-0000-000006000000}" name="LocalNotes"/>
    <tableColumn id="7" xr3:uid="{00000000-0010-0000-0000-000007000000}" name="ForeignNotes"/>
    <tableColumn id="8" xr3:uid="{00000000-0010-0000-0000-000008000000}" name="BalanceswithCommercialBanks"/>
    <tableColumn id="9" xr3:uid="{00000000-0010-0000-0000-000009000000}" name="TimeDeposits"/>
    <tableColumn id="10" xr3:uid="{00000000-0010-0000-0000-00000A000000}" name="OverdraftsandMatured"/>
    <tableColumn id="11" xr3:uid="{00000000-0010-0000-0000-00000B000000}" name="BalanceswithotherSaccoSocieties"/>
    <tableColumn id="12" xr3:uid="{00000000-0010-0000-0000-00000C000000}" name="BalanceswithotherFinancialInstitutions"/>
    <tableColumn id="13" xr3:uid="{00000000-0010-0000-0000-00000D000000}" name="BalancesDuetootherSaccosocieties"/>
    <tableColumn id="14" xr3:uid="{00000000-0010-0000-0000-00000E000000}" name="BalancesduetoFinanciaInstitutions"/>
    <tableColumn id="15" xr3:uid="{00000000-0010-0000-0000-00000F000000}" name="MaturedLoansandAdvances"/>
    <tableColumn id="16" xr3:uid="{00000000-0010-0000-0000-000010000000}" name="TreasuryBills"/>
    <tableColumn id="17" xr3:uid="{00000000-0010-0000-0000-000011000000}" name="TreasuryBonds"/>
    <tableColumn id="18" xr3:uid="{00000000-0010-0000-0000-000012000000}" name="NETLIQUIDASSETS"/>
    <tableColumn id="19" xr3:uid="{00000000-0010-0000-0000-000013000000}" name="MaturedLiabilities"/>
    <tableColumn id="20" xr3:uid="{00000000-0010-0000-0000-000014000000}" name="LiabilitiesMaturingwithin91Days"/>
    <tableColumn id="21" xr3:uid="{00000000-0010-0000-0000-000015000000}" name="TotalOtherliabilities"/>
    <tableColumn id="22" xr3:uid="{00000000-0010-0000-0000-000016000000}" name="TotalOtherliabilitiesNew"/>
    <tableColumn id="23" xr3:uid="{00000000-0010-0000-0000-000017000000}" name="Ratio"/>
    <tableColumn id="24" xr3:uid="{00000000-0010-0000-0000-000018000000}" name="Minumholding"/>
    <tableColumn id="25" xr3:uid="{00000000-0010-0000-0000-000019000000}" name="Exc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"/>
  <sheetViews>
    <sheetView topLeftCell="R1" workbookViewId="0">
      <pane ySplit="1" topLeftCell="A2" activePane="bottomLeft" state="frozen"/>
      <selection pane="bottomLeft" activeCell="Y2" sqref="Y2"/>
    </sheetView>
  </sheetViews>
  <sheetFormatPr defaultRowHeight="14.5"/>
  <cols>
    <col min="1" max="1" width="18.453125" bestFit="1" customWidth="1"/>
    <col min="4" max="4" width="12.453125" bestFit="1" customWidth="1"/>
    <col min="5" max="5" width="15.1796875" bestFit="1" customWidth="1"/>
    <col min="6" max="6" width="13" bestFit="1" customWidth="1"/>
    <col min="7" max="7" width="15.453125" bestFit="1" customWidth="1"/>
    <col min="8" max="8" width="31.26953125" bestFit="1" customWidth="1"/>
    <col min="9" max="9" width="15.54296875" bestFit="1" customWidth="1"/>
    <col min="10" max="10" width="24.1796875" bestFit="1" customWidth="1"/>
    <col min="11" max="11" width="33.453125" bestFit="1" customWidth="1"/>
    <col min="12" max="12" width="38.7265625" bestFit="1" customWidth="1"/>
    <col min="13" max="13" width="34.7265625" bestFit="1" customWidth="1"/>
    <col min="14" max="14" width="34.453125" bestFit="1" customWidth="1"/>
    <col min="15" max="15" width="28.26953125" bestFit="1" customWidth="1"/>
    <col min="16" max="16" width="14.54296875" bestFit="1" customWidth="1"/>
    <col min="17" max="17" width="16.453125" bestFit="1" customWidth="1"/>
    <col min="18" max="18" width="19.26953125" bestFit="1" customWidth="1"/>
    <col min="19" max="19" width="19.81640625" bestFit="1" customWidth="1"/>
    <col min="20" max="20" width="32.54296875" bestFit="1" customWidth="1"/>
    <col min="21" max="21" width="21.453125" bestFit="1" customWidth="1"/>
    <col min="22" max="22" width="25.7265625" bestFit="1" customWidth="1"/>
    <col min="23" max="23" width="7.81640625" bestFit="1" customWidth="1"/>
    <col min="24" max="24" width="16.54296875" bestFit="1" customWidth="1"/>
    <col min="25" max="25" width="9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53"/>
  <sheetViews>
    <sheetView tabSelected="1" workbookViewId="0">
      <selection activeCell="D4" sqref="D4"/>
    </sheetView>
  </sheetViews>
  <sheetFormatPr defaultRowHeight="14"/>
  <cols>
    <col min="1" max="1" width="8.7265625" style="1"/>
    <col min="2" max="2" width="4" style="1" bestFit="1" customWidth="1"/>
    <col min="3" max="3" width="98.453125" style="1" bestFit="1" customWidth="1"/>
    <col min="4" max="4" width="30.26953125" style="1" bestFit="1" customWidth="1"/>
    <col min="5" max="16384" width="8.7265625" style="1"/>
  </cols>
  <sheetData>
    <row r="1" spans="2:4">
      <c r="B1" s="13" t="s">
        <v>25</v>
      </c>
      <c r="C1" s="13"/>
    </row>
    <row r="2" spans="2:4">
      <c r="B2" s="14" t="s">
        <v>26</v>
      </c>
      <c r="C2" s="14"/>
    </row>
    <row r="3" spans="2:4">
      <c r="B3" s="12" t="s">
        <v>27</v>
      </c>
      <c r="C3" s="12"/>
      <c r="D3" s="2">
        <f>Data[Name]</f>
        <v>0</v>
      </c>
    </row>
    <row r="4" spans="2:4">
      <c r="B4" s="12" t="s">
        <v>28</v>
      </c>
      <c r="C4" s="12"/>
      <c r="D4" s="3">
        <v>2259</v>
      </c>
    </row>
    <row r="5" spans="2:4">
      <c r="B5" s="12" t="s">
        <v>29</v>
      </c>
      <c r="C5" s="12"/>
      <c r="D5" s="3">
        <f>Data[FinancialYear]</f>
        <v>0</v>
      </c>
    </row>
    <row r="6" spans="2:4">
      <c r="B6" s="12" t="s">
        <v>30</v>
      </c>
      <c r="C6" s="12"/>
      <c r="D6" s="4">
        <f>Data[BeginDate]</f>
        <v>0</v>
      </c>
    </row>
    <row r="7" spans="2:4">
      <c r="B7" s="12" t="s">
        <v>31</v>
      </c>
      <c r="C7" s="12"/>
      <c r="D7" s="4">
        <f>Data[AsAt]</f>
        <v>0</v>
      </c>
    </row>
    <row r="8" spans="2:4">
      <c r="D8" s="1" t="s">
        <v>32</v>
      </c>
    </row>
    <row r="9" spans="2:4" s="3" customFormat="1">
      <c r="B9" s="3">
        <v>1</v>
      </c>
      <c r="C9" s="3" t="s">
        <v>33</v>
      </c>
      <c r="D9" s="8">
        <f>SUM(Data[LocalNotes],Data[ForeignNotes] )</f>
        <v>0</v>
      </c>
    </row>
    <row r="10" spans="2:4">
      <c r="B10" s="1">
        <v>1.1000000000000001</v>
      </c>
      <c r="C10" s="1" t="s">
        <v>35</v>
      </c>
      <c r="D10" s="6">
        <f>SUM(Data[LocalNotes])</f>
        <v>0</v>
      </c>
    </row>
    <row r="11" spans="2:4">
      <c r="B11" s="1">
        <v>1.2</v>
      </c>
      <c r="C11" s="1" t="s">
        <v>36</v>
      </c>
      <c r="D11" s="6">
        <f>SUM(Data[ForeignNotes])</f>
        <v>0</v>
      </c>
    </row>
    <row r="12" spans="2:4">
      <c r="D12" s="6"/>
    </row>
    <row r="13" spans="2:4" s="3" customFormat="1">
      <c r="B13" s="3">
        <v>2</v>
      </c>
      <c r="C13" s="3" t="s">
        <v>37</v>
      </c>
      <c r="D13" s="8" t="s">
        <v>34</v>
      </c>
    </row>
    <row r="14" spans="2:4">
      <c r="B14" s="1">
        <v>2.1</v>
      </c>
      <c r="C14" s="1" t="s">
        <v>38</v>
      </c>
      <c r="D14" s="6">
        <f>SUM(Data[BalanceswithCommercialBanks])</f>
        <v>0</v>
      </c>
    </row>
    <row r="15" spans="2:4">
      <c r="C15" s="1" t="s">
        <v>39</v>
      </c>
      <c r="D15" s="6"/>
    </row>
    <row r="16" spans="2:4">
      <c r="B16" s="1">
        <v>2.2000000000000002</v>
      </c>
      <c r="C16" s="1" t="s">
        <v>40</v>
      </c>
      <c r="D16" s="6">
        <f>SUM(Data[TimeDeposits])</f>
        <v>0</v>
      </c>
    </row>
    <row r="17" spans="2:4">
      <c r="B17" s="1">
        <v>2.2999999999999998</v>
      </c>
      <c r="C17" s="1" t="s">
        <v>41</v>
      </c>
      <c r="D17" s="6">
        <f>SUM(Data[OverdraftsandMatured])</f>
        <v>0</v>
      </c>
    </row>
    <row r="18" spans="2:4">
      <c r="D18" s="6"/>
    </row>
    <row r="19" spans="2:4" s="3" customFormat="1">
      <c r="B19" s="3">
        <v>3</v>
      </c>
      <c r="C19" s="3" t="s">
        <v>42</v>
      </c>
      <c r="D19" s="9">
        <v>0</v>
      </c>
    </row>
    <row r="20" spans="2:4">
      <c r="B20" s="1">
        <v>3.1</v>
      </c>
      <c r="C20" s="1" t="s">
        <v>43</v>
      </c>
      <c r="D20" s="6">
        <f>SUM(Data[BalanceswithotherSaccoSocieties])</f>
        <v>0</v>
      </c>
    </row>
    <row r="21" spans="2:4">
      <c r="B21" s="1">
        <v>3.2</v>
      </c>
      <c r="C21" s="1" t="s">
        <v>44</v>
      </c>
      <c r="D21" s="6">
        <f>SUM(Data[BalanceswithotherFinancialInstitutions])</f>
        <v>0</v>
      </c>
    </row>
    <row r="22" spans="2:4">
      <c r="C22" s="1" t="s">
        <v>39</v>
      </c>
      <c r="D22" s="6"/>
    </row>
    <row r="23" spans="2:4">
      <c r="B23" s="1">
        <v>3.3</v>
      </c>
      <c r="C23" s="1" t="s">
        <v>45</v>
      </c>
      <c r="D23" s="6">
        <f>SUM(Data[BalancesDuetootherSaccosocieties])</f>
        <v>0</v>
      </c>
    </row>
    <row r="24" spans="2:4">
      <c r="B24" s="1">
        <v>3.4</v>
      </c>
      <c r="C24" s="1" t="s">
        <v>46</v>
      </c>
      <c r="D24" s="6">
        <f>SUM(Data[BalancesduetoFinanciaInstitutions])</f>
        <v>0</v>
      </c>
    </row>
    <row r="25" spans="2:4">
      <c r="B25" s="1">
        <v>3.5</v>
      </c>
      <c r="C25" s="1" t="s">
        <v>47</v>
      </c>
      <c r="D25" s="6">
        <f>SUM(Data[MaturedLoansandAdvances])</f>
        <v>0</v>
      </c>
    </row>
    <row r="26" spans="2:4">
      <c r="D26" s="6"/>
    </row>
    <row r="27" spans="2:4" s="3" customFormat="1">
      <c r="B27" s="3">
        <v>4</v>
      </c>
      <c r="C27" s="3" t="s">
        <v>48</v>
      </c>
      <c r="D27" s="8">
        <f>SUM(Data[TreasuryBills],Data[TreasuryBonds])</f>
        <v>0</v>
      </c>
    </row>
    <row r="28" spans="2:4">
      <c r="B28" s="1">
        <v>4.0999999999999996</v>
      </c>
      <c r="C28" s="1" t="s">
        <v>49</v>
      </c>
      <c r="D28" s="6">
        <f>SUM(Data[TreasuryBills])</f>
        <v>0</v>
      </c>
    </row>
    <row r="29" spans="2:4">
      <c r="B29" s="1">
        <v>4.2</v>
      </c>
      <c r="C29" s="1" t="s">
        <v>50</v>
      </c>
      <c r="D29" s="6">
        <f>SUM(Data[TreasuryBonds])</f>
        <v>0</v>
      </c>
    </row>
    <row r="30" spans="2:4">
      <c r="D30" s="6"/>
    </row>
    <row r="31" spans="2:4" s="3" customFormat="1">
      <c r="B31" s="3">
        <v>5</v>
      </c>
      <c r="C31" s="3" t="s">
        <v>51</v>
      </c>
      <c r="D31" s="8">
        <f>SUM(Data[NETLIQUIDASSETS] )</f>
        <v>0</v>
      </c>
    </row>
    <row r="32" spans="2:4">
      <c r="D32" s="6"/>
    </row>
    <row r="33" spans="2:4" s="3" customFormat="1">
      <c r="B33" s="3">
        <v>6</v>
      </c>
      <c r="C33" s="3" t="s">
        <v>52</v>
      </c>
      <c r="D33" s="10"/>
    </row>
    <row r="34" spans="2:4">
      <c r="B34" s="1">
        <v>6.1</v>
      </c>
      <c r="C34" s="1" t="s">
        <v>53</v>
      </c>
      <c r="D34" s="5">
        <f>SUM(Data[MaturedLiabilities])</f>
        <v>0</v>
      </c>
    </row>
    <row r="35" spans="2:4">
      <c r="B35" s="1">
        <v>6.2</v>
      </c>
      <c r="C35" s="1" t="s">
        <v>54</v>
      </c>
      <c r="D35" s="6">
        <f>SUM(Data[TotalOtherliabilitiesNew])</f>
        <v>0</v>
      </c>
    </row>
    <row r="36" spans="2:4">
      <c r="B36" s="1">
        <v>6.3</v>
      </c>
      <c r="C36" s="1" t="s">
        <v>55</v>
      </c>
      <c r="D36" s="6">
        <f>SUM(Data[TotalOtherliabilitiesNew],Data[MaturedLiabilities])</f>
        <v>0</v>
      </c>
    </row>
    <row r="37" spans="2:4">
      <c r="D37" s="6"/>
    </row>
    <row r="38" spans="2:4" s="3" customFormat="1">
      <c r="B38" s="3">
        <v>7</v>
      </c>
      <c r="C38" s="3" t="s">
        <v>56</v>
      </c>
      <c r="D38" s="10"/>
    </row>
    <row r="39" spans="2:4">
      <c r="B39" s="1">
        <v>7.1</v>
      </c>
      <c r="C39" s="1" t="s">
        <v>57</v>
      </c>
      <c r="D39" s="6">
        <f>SUM(Data[NETLIQUIDASSETS] )</f>
        <v>0</v>
      </c>
    </row>
    <row r="40" spans="2:4">
      <c r="B40" s="1">
        <v>7.2</v>
      </c>
      <c r="C40" s="1" t="s">
        <v>58</v>
      </c>
      <c r="D40" s="6">
        <v>0</v>
      </c>
    </row>
    <row r="41" spans="2:4">
      <c r="B41" s="1">
        <v>7.3</v>
      </c>
      <c r="C41" s="1" t="s">
        <v>59</v>
      </c>
      <c r="D41" s="11">
        <f>SUM(Data[Ratio])</f>
        <v>0</v>
      </c>
    </row>
    <row r="42" spans="2:4">
      <c r="B42" s="1">
        <v>7.4</v>
      </c>
      <c r="C42" s="1" t="s">
        <v>60</v>
      </c>
      <c r="D42" s="7">
        <v>0.1</v>
      </c>
    </row>
    <row r="43" spans="2:4">
      <c r="B43" s="1">
        <v>7.5</v>
      </c>
      <c r="C43" s="1" t="s">
        <v>61</v>
      </c>
      <c r="D43" s="11">
        <f>SUM(Data[Excess])</f>
        <v>0</v>
      </c>
    </row>
    <row r="45" spans="2:4">
      <c r="C45" s="1" t="s">
        <v>62</v>
      </c>
    </row>
    <row r="46" spans="2:4">
      <c r="C46" s="1" t="s">
        <v>63</v>
      </c>
    </row>
    <row r="47" spans="2:4">
      <c r="C47" s="1" t="s">
        <v>64</v>
      </c>
    </row>
    <row r="48" spans="2:4">
      <c r="C48" s="1" t="s">
        <v>65</v>
      </c>
    </row>
    <row r="49" spans="3:3">
      <c r="C49" s="1" t="s">
        <v>66</v>
      </c>
    </row>
    <row r="50" spans="3:3">
      <c r="C50" s="1" t="s">
        <v>67</v>
      </c>
    </row>
    <row r="51" spans="3:3">
      <c r="C51" s="1" t="s">
        <v>66</v>
      </c>
    </row>
    <row r="52" spans="3:3">
      <c r="C52" s="1" t="s">
        <v>68</v>
      </c>
    </row>
    <row r="53" spans="3:3">
      <c r="C53" s="1" t="s">
        <v>66</v>
      </c>
    </row>
  </sheetData>
  <mergeCells count="7">
    <mergeCell ref="B6:C6"/>
    <mergeCell ref="B7:C7"/>
    <mergeCell ref="B1:C1"/>
    <mergeCell ref="B2:C2"/>
    <mergeCell ref="B3:C3"/>
    <mergeCell ref="B4:C4"/>
    <mergeCell ref="B5:C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Liquidity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MUISYO</cp:lastModifiedBy>
  <dcterms:modified xsi:type="dcterms:W3CDTF">2024-04-16T08:00:37Z</dcterms:modified>
</cp:coreProperties>
</file>