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F7B0E01A-6B0B-4543-BF72-BC12E4304C0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Statement Of Compreh Inco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2" l="1"/>
  <c r="C30" i="2"/>
  <c r="C7" i="2"/>
  <c r="C6" i="2"/>
  <c r="C5" i="2"/>
  <c r="C3" i="2"/>
  <c r="C56" i="2" l="1"/>
  <c r="C53" i="2"/>
  <c r="C49" i="2"/>
  <c r="C48" i="2"/>
  <c r="C43" i="2"/>
  <c r="C42" i="2"/>
  <c r="C41" i="2"/>
  <c r="C40" i="2"/>
  <c r="C39" i="2"/>
  <c r="C36" i="2"/>
  <c r="C35" i="2"/>
  <c r="C28" i="2"/>
  <c r="C27" i="2"/>
  <c r="C26" i="2"/>
  <c r="C23" i="2"/>
  <c r="C22" i="2"/>
  <c r="C21" i="2"/>
  <c r="C20" i="2"/>
  <c r="C19" i="2"/>
  <c r="C18" i="2"/>
  <c r="C17" i="2"/>
  <c r="C14" i="2"/>
  <c r="C13" i="2"/>
  <c r="C12" i="2" l="1"/>
  <c r="C47" i="2"/>
  <c r="C34" i="2"/>
  <c r="C25" i="2"/>
  <c r="C16" i="2"/>
  <c r="C38" i="2"/>
  <c r="C11" i="2" l="1"/>
  <c r="C32" i="2" s="1"/>
  <c r="C45" i="2" s="1"/>
  <c r="C51" i="2" s="1"/>
  <c r="C55" i="2" s="1"/>
  <c r="C58" i="2" s="1"/>
</calcChain>
</file>

<file path=xl/sharedStrings.xml><?xml version="1.0" encoding="utf-8"?>
<sst xmlns="http://schemas.openxmlformats.org/spreadsheetml/2006/main" count="98" uniqueCount="96">
  <si>
    <t>ReportForNavId_1</t>
  </si>
  <si>
    <t>AsAt</t>
  </si>
  <si>
    <t>Date</t>
  </si>
  <si>
    <t>FinancialYear</t>
  </si>
  <si>
    <t>Name</t>
  </si>
  <si>
    <t>InterestonLoanPortfolio</t>
  </si>
  <si>
    <t>FeesCommissiononLoanPortfolio</t>
  </si>
  <si>
    <t>GovernmentSecurities</t>
  </si>
  <si>
    <t>InvestmentinCompaniesshares</t>
  </si>
  <si>
    <t>EquityInvestmentsinsubsidiaries</t>
  </si>
  <si>
    <t>Derivatives</t>
  </si>
  <si>
    <t>CollectiveinvestmentSchemes</t>
  </si>
  <si>
    <t>CommercialPapers</t>
  </si>
  <si>
    <t>PlacementinBanks</t>
  </si>
  <si>
    <t>nterestExpenseonDeposits</t>
  </si>
  <si>
    <t>CostofExternalBorrowings</t>
  </si>
  <si>
    <t>DividendExpenses</t>
  </si>
  <si>
    <t>OtherFinancialExpense</t>
  </si>
  <si>
    <t>FeesCommissionExpense</t>
  </si>
  <si>
    <t>OtherExpense</t>
  </si>
  <si>
    <t>ProvisionforLoanLosses</t>
  </si>
  <si>
    <t>ValueofLoansRecovered</t>
  </si>
  <si>
    <t>PersonnelExpenses</t>
  </si>
  <si>
    <t>GovernanceExpenses</t>
  </si>
  <si>
    <t>MarketingExpenses</t>
  </si>
  <si>
    <t>DepreciationandAmortizationCharges</t>
  </si>
  <si>
    <t>AdministrativeExpenses</t>
  </si>
  <si>
    <t>NonOperatingIncome</t>
  </si>
  <si>
    <t>NonOperatingExpense</t>
  </si>
  <si>
    <t>Taxes</t>
  </si>
  <si>
    <t>Donations</t>
  </si>
  <si>
    <t>FinancialIncomefromLoansPortfolio</t>
  </si>
  <si>
    <t>FinancialExpense</t>
  </si>
  <si>
    <t>NetFinancialIncomeLoss</t>
  </si>
  <si>
    <t>NetNonOperatingIncomeExpense</t>
  </si>
  <si>
    <t>FinancialIncomefromInvestments</t>
  </si>
  <si>
    <t>AllowanceforLoanLoss</t>
  </si>
  <si>
    <t>OperatingExpenses</t>
  </si>
  <si>
    <t>NetOperatingIncome</t>
  </si>
  <si>
    <t>NetIncomeBeforeTaxesandDonations</t>
  </si>
  <si>
    <t>NetIncomeAfterTaxesbeforeDonations</t>
  </si>
  <si>
    <t>NetIncomeAfterTaxesandDonations</t>
  </si>
  <si>
    <t>FinancialIncome</t>
  </si>
  <si>
    <t>FORM 2F</t>
  </si>
  <si>
    <t>STATEMENT OF COMPREHENSIVE INCOME</t>
  </si>
  <si>
    <t xml:space="preserve">NAME OF SACCO SOCIETY </t>
  </si>
  <si>
    <t xml:space="preserve"> SACCO SOCIETY CS NUMBER</t>
  </si>
  <si>
    <t xml:space="preserve">FINANCIAL YEAR </t>
  </si>
  <si>
    <t>START DATE:</t>
  </si>
  <si>
    <t>END DATE:</t>
  </si>
  <si>
    <t>Ref No.</t>
  </si>
  <si>
    <t>Year to Date</t>
  </si>
  <si>
    <t>AMOUNT(KSHS)</t>
  </si>
  <si>
    <t xml:space="preserve">Financial Income </t>
  </si>
  <si>
    <t>Financial Income from Loans Portfolio</t>
  </si>
  <si>
    <t>Interest on Loan Portfolio</t>
  </si>
  <si>
    <t>Fees &amp; Commission on Loan Portfolio</t>
  </si>
  <si>
    <t xml:space="preserve">Financial Income from Investments </t>
  </si>
  <si>
    <t>Government Securities</t>
  </si>
  <si>
    <t>Placement in Banks, Saccos' and similar financial institutions</t>
  </si>
  <si>
    <t>Commercial Papers, notes and bonds</t>
  </si>
  <si>
    <t>Collective investment Schemes</t>
  </si>
  <si>
    <t>Equity Investments in subsidiaries and related entities</t>
  </si>
  <si>
    <t>Investment in Companies shares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</si>
  <si>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</si>
  <si>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</si>
  <si>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</si>
  <si>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</si>
  <si>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</si>
  <si>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</si>
  <si>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</si>
  <si>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</si>
  <si>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Allowance for Loan Loss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</si>
  <si>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</si>
  <si>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</si>
  <si>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</si>
  <si>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</si>
  <si>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</si>
  <si>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</si>
  <si>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</si>
  <si>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</si>
  <si>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</si>
  <si>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</si>
  <si>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</si>
  <si>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</si>
  <si>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</si>
  <si>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rPr>
        <sz val="11"/>
        <rFont val="Cambria"/>
        <family val="1"/>
      </rP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</si>
  <si>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</si>
  <si>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Net Income/(After Taxes and Donations)</t>
  </si>
  <si>
    <r>
      <rPr>
        <b/>
        <sz val="10.5"/>
        <rFont val="Cambria"/>
        <family val="1"/>
      </rP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</si>
  <si>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AUTHORIZATION:</t>
  </si>
  <si>
    <t xml:space="preserve"> We declare that this return, to the best of our knowledge and belief is correct.</t>
  </si>
  <si>
    <t xml:space="preserve">sign……………………………………………date……..…………………………….. </t>
  </si>
  <si>
    <t>Name of Authorizing Officer</t>
  </si>
  <si>
    <t>…………………………………………………..sign……………………………..date……………………..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</si>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</sst>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\-??_);_(@_)"/>
    <numFmt numFmtId="165" formatCode="_ * #,##0.00_ ;_ * \-#,##0.00_ ;_ * &quot;-&quot;??_ ;_ @_ "/>
  </numFmts>
  <fonts count="11">
    <font>
      <sz val="11"/>
      <name val="Calibri"/>
      <charset val="134"/>
      <scheme val="minor"/>
    </font>
    <font>
      <b/>
      <sz val="11"/>
      <name val="Cambria"/>
      <family val="1"/>
    </font>
    <font>
      <sz val="11"/>
      <name val="Cambria"/>
      <family val="1"/>
    </font>
    <font>
      <b/>
      <sz val="10.5"/>
      <name val="Cambria"/>
      <family val="1"/>
    </font>
    <font>
      <b/>
      <sz val="10"/>
      <name val="Cambria"/>
      <family val="1"/>
    </font>
    <font>
      <sz val="11"/>
      <color indexed="8"/>
      <name val="Cambria"/>
      <family val="1"/>
    </font>
    <font>
      <b/>
      <sz val="11"/>
      <color indexed="8"/>
      <name val="Cambria"/>
      <family val="1"/>
    </font>
    <font>
      <b/>
      <sz val="11"/>
      <color indexed="60"/>
      <name val="Cambria"/>
      <family val="1"/>
    </font>
    <font>
      <sz val="11"/>
      <color theme="1"/>
      <name val="Calibri"/>
      <family val="2"/>
      <scheme val="minor"/>
    </font>
    <font>
      <i/>
      <sz val="11"/>
      <name val="Cambria"/>
      <family val="1"/>
    </font>
    <font>
      <sz val="10.5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</borders>
  <cellStyleXfs count="2">
    <xf numFmtId="0" fontId="0" fillId="0" borderId="0"/>
    <xf numFmtId="165" fontId="8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/>
    <xf numFmtId="164" fontId="2" fillId="0" borderId="1" xfId="1" applyNumberFormat="1" applyFont="1" applyBorder="1" applyAlignment="1">
      <alignment horizontal="left"/>
    </xf>
    <xf numFmtId="164" fontId="2" fillId="0" borderId="1" xfId="1" applyNumberFormat="1" applyFont="1" applyFill="1" applyBorder="1" applyAlignment="1"/>
    <xf numFmtId="0" fontId="4" fillId="0" borderId="2" xfId="0" applyFont="1" applyBorder="1" applyProtection="1">
      <protection locked="0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164" fontId="2" fillId="0" borderId="1" xfId="1" applyNumberFormat="1" applyFont="1" applyFill="1" applyBorder="1" applyAlignment="1" applyProtection="1">
      <protection locked="0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1" fillId="0" borderId="1" xfId="0" applyFont="1" applyBorder="1" applyProtection="1">
      <protection locked="0"/>
    </xf>
    <xf numFmtId="164" fontId="2" fillId="0" borderId="1" xfId="1" applyNumberFormat="1" applyFont="1" applyFill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165" fontId="1" fillId="2" borderId="1" xfId="1" applyFont="1" applyFill="1" applyBorder="1" applyAlignment="1" applyProtection="1"/>
    <xf numFmtId="165" fontId="5" fillId="0" borderId="1" xfId="1" applyFont="1" applyFill="1" applyBorder="1" applyAlignment="1" applyProtection="1">
      <alignment horizontal="right" vertical="center"/>
      <protection locked="0"/>
    </xf>
    <xf numFmtId="165" fontId="2" fillId="0" borderId="1" xfId="1" applyFont="1" applyFill="1" applyBorder="1" applyAlignment="1" applyProtection="1">
      <alignment horizontal="right" vertical="center"/>
      <protection locked="0"/>
    </xf>
    <xf numFmtId="165" fontId="2" fillId="0" borderId="1" xfId="1" applyFont="1" applyFill="1" applyBorder="1" applyAlignment="1" applyProtection="1"/>
    <xf numFmtId="165" fontId="2" fillId="0" borderId="1" xfId="1" applyFont="1" applyFill="1" applyBorder="1" applyAlignment="1" applyProtection="1">
      <protection locked="0"/>
    </xf>
    <xf numFmtId="165" fontId="6" fillId="0" borderId="1" xfId="1" applyFont="1" applyFill="1" applyBorder="1" applyAlignment="1" applyProtection="1">
      <alignment horizontal="right" vertical="center"/>
    </xf>
    <xf numFmtId="165" fontId="1" fillId="2" borderId="1" xfId="1" applyFont="1" applyFill="1" applyBorder="1" applyAlignment="1" applyProtection="1">
      <protection locked="0"/>
    </xf>
    <xf numFmtId="165" fontId="6" fillId="2" borderId="1" xfId="1" applyFont="1" applyFill="1" applyBorder="1" applyAlignment="1" applyProtection="1">
      <alignment horizontal="right" vertical="center"/>
      <protection locked="0"/>
    </xf>
    <xf numFmtId="0" fontId="1" fillId="0" borderId="3" xfId="0" applyFont="1" applyBorder="1" applyAlignment="1">
      <alignment horizontal="right"/>
    </xf>
    <xf numFmtId="14" fontId="1" fillId="0" borderId="3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Q2" insertRow="1" totalsRowShown="0">
  <autoFilter ref="A1:AQ2" xr:uid="{00000000-0009-0000-0100-000001000000}"/>
  <tableColumns count="43">
    <tableColumn id="1" xr3:uid="{00000000-0010-0000-0000-000001000000}" name="ReportForNavId_1"/>
    <tableColumn id="2" xr3:uid="{00000000-0010-0000-0000-000002000000}" name="AsAt"/>
    <tableColumn id="3" xr3:uid="{00000000-0010-0000-0000-000003000000}" name="Date"/>
    <tableColumn id="4" xr3:uid="{00000000-0010-0000-0000-000004000000}" name="FinancialYear"/>
    <tableColumn id="5" xr3:uid="{00000000-0010-0000-0000-000005000000}" name="Name"/>
    <tableColumn id="6" xr3:uid="{00000000-0010-0000-0000-000006000000}" name="InterestonLoanPortfolio"/>
    <tableColumn id="7" xr3:uid="{00000000-0010-0000-0000-000007000000}" name="FeesCommissiononLoanPortfolio"/>
    <tableColumn id="8" xr3:uid="{00000000-0010-0000-0000-000008000000}" name="GovernmentSecurities"/>
    <tableColumn id="9" xr3:uid="{00000000-0010-0000-0000-000009000000}" name="InvestmentinCompaniesshares"/>
    <tableColumn id="10" xr3:uid="{00000000-0010-0000-0000-00000A000000}" name="EquityInvestmentsinsubsidiaries"/>
    <tableColumn id="11" xr3:uid="{00000000-0010-0000-0000-00000B000000}" name="Derivatives"/>
    <tableColumn id="12" xr3:uid="{00000000-0010-0000-0000-00000C000000}" name="CollectiveinvestmentSchemes"/>
    <tableColumn id="13" xr3:uid="{00000000-0010-0000-0000-00000D000000}" name="CommercialPapers"/>
    <tableColumn id="14" xr3:uid="{00000000-0010-0000-0000-00000E000000}" name="PlacementinBanks"/>
    <tableColumn id="15" xr3:uid="{00000000-0010-0000-0000-00000F000000}" name="nterestExpenseonDeposits"/>
    <tableColumn id="16" xr3:uid="{00000000-0010-0000-0000-000010000000}" name="CostofExternalBorrowings"/>
    <tableColumn id="17" xr3:uid="{00000000-0010-0000-0000-000011000000}" name="DividendExpenses"/>
    <tableColumn id="18" xr3:uid="{00000000-0010-0000-0000-000012000000}" name="OtherFinancialExpense"/>
    <tableColumn id="19" xr3:uid="{00000000-0010-0000-0000-000013000000}" name="FeesCommissionExpense"/>
    <tableColumn id="20" xr3:uid="{00000000-0010-0000-0000-000014000000}" name="OtherExpense"/>
    <tableColumn id="21" xr3:uid="{00000000-0010-0000-0000-000015000000}" name="ProvisionforLoanLosses"/>
    <tableColumn id="22" xr3:uid="{00000000-0010-0000-0000-000016000000}" name="ValueofLoansRecovered"/>
    <tableColumn id="23" xr3:uid="{00000000-0010-0000-0000-000017000000}" name="PersonnelExpenses"/>
    <tableColumn id="24" xr3:uid="{00000000-0010-0000-0000-000018000000}" name="GovernanceExpenses"/>
    <tableColumn id="25" xr3:uid="{00000000-0010-0000-0000-000019000000}" name="MarketingExpenses"/>
    <tableColumn id="26" xr3:uid="{00000000-0010-0000-0000-00001A000000}" name="DepreciationandAmortizationCharges"/>
    <tableColumn id="27" xr3:uid="{00000000-0010-0000-0000-00001B000000}" name="AdministrativeExpenses"/>
    <tableColumn id="28" xr3:uid="{00000000-0010-0000-0000-00001C000000}" name="NonOperatingIncome"/>
    <tableColumn id="29" xr3:uid="{00000000-0010-0000-0000-00001D000000}" name="NonOperatingExpense"/>
    <tableColumn id="30" xr3:uid="{00000000-0010-0000-0000-00001E000000}" name="Taxes"/>
    <tableColumn id="31" xr3:uid="{00000000-0010-0000-0000-00001F000000}" name="Donations"/>
    <tableColumn id="32" xr3:uid="{00000000-0010-0000-0000-000020000000}" name="FinancialIncomefromLoansPortfolio"/>
    <tableColumn id="33" xr3:uid="{00000000-0010-0000-0000-000021000000}" name="FinancialExpense"/>
    <tableColumn id="34" xr3:uid="{00000000-0010-0000-0000-000022000000}" name="NetFinancialIncomeLoss"/>
    <tableColumn id="35" xr3:uid="{00000000-0010-0000-0000-000023000000}" name="NetNonOperatingIncomeExpense"/>
    <tableColumn id="36" xr3:uid="{00000000-0010-0000-0000-000024000000}" name="FinancialIncomefromInvestments"/>
    <tableColumn id="37" xr3:uid="{00000000-0010-0000-0000-000025000000}" name="AllowanceforLoanLoss"/>
    <tableColumn id="38" xr3:uid="{00000000-0010-0000-0000-000026000000}" name="OperatingExpenses"/>
    <tableColumn id="39" xr3:uid="{00000000-0010-0000-0000-000027000000}" name="NetOperatingIncome"/>
    <tableColumn id="40" xr3:uid="{00000000-0010-0000-0000-000028000000}" name="NetIncomeBeforeTaxesandDonations"/>
    <tableColumn id="41" xr3:uid="{00000000-0010-0000-0000-000029000000}" name="NetIncomeAfterTaxesbeforeDonations"/>
    <tableColumn id="42" xr3:uid="{00000000-0010-0000-0000-00002A000000}" name="NetIncomeAfterTaxesandDonations"/>
    <tableColumn id="43" xr3:uid="{00000000-0010-0000-0000-00002B000000}" name="Financial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"/>
  <sheetViews>
    <sheetView topLeftCell="M1" workbookViewId="0">
      <pane ySplit="1" topLeftCell="A2" activePane="bottomLeft" state="frozen"/>
      <selection pane="bottomLeft" activeCell="S2" sqref="S2"/>
    </sheetView>
  </sheetViews>
  <sheetFormatPr defaultColWidth="9" defaultRowHeight="14.5"/>
  <cols>
    <col min="1" max="1" width="18.453125" customWidth="1"/>
    <col min="6" max="6" width="24.453125" customWidth="1"/>
    <col min="7" max="7" width="33.453125" customWidth="1"/>
    <col min="8" max="8" width="23" customWidth="1"/>
    <col min="9" max="9" width="31.453125" customWidth="1"/>
    <col min="10" max="10" width="33" customWidth="1"/>
    <col min="11" max="11" width="11.7265625" customWidth="1"/>
    <col min="12" max="12" width="30.7265625" customWidth="1"/>
    <col min="13" max="13" width="19.1796875" customWidth="1"/>
    <col min="14" max="14" width="18.81640625" customWidth="1"/>
    <col min="15" max="15" width="27.26953125" customWidth="1"/>
    <col min="16" max="16" width="26.453125" customWidth="1"/>
    <col min="17" max="17" width="18.81640625" customWidth="1"/>
    <col min="18" max="18" width="23.453125" customWidth="1"/>
    <col min="19" max="19" width="25.7265625" customWidth="1"/>
    <col min="20" max="20" width="14.7265625" customWidth="1"/>
    <col min="21" max="21" width="23.81640625" customWidth="1"/>
    <col min="22" max="22" width="24.54296875" customWidth="1"/>
    <col min="28" max="28" width="22" customWidth="1"/>
    <col min="29" max="29" width="23" customWidth="1"/>
    <col min="30" max="30" width="6.54296875" customWidth="1"/>
    <col min="31" max="31" width="10.54296875" customWidth="1"/>
    <col min="32" max="32" width="36" customWidth="1"/>
    <col min="37" max="37" width="22.726562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tabSelected="1" topLeftCell="A43" workbookViewId="0">
      <selection activeCell="B28" sqref="B28"/>
    </sheetView>
  </sheetViews>
  <sheetFormatPr defaultColWidth="9.1796875" defaultRowHeight="14.5"/>
  <cols>
    <col min="1" max="1" width="7.453125" bestFit="1" customWidth="1"/>
    <col min="2" max="2" width="72.81640625" bestFit="1" customWidth="1"/>
    <col min="3" max="3" width="14.453125" bestFit="1" customWidth="1"/>
  </cols>
  <sheetData>
    <row r="1" spans="1:3">
      <c r="A1" s="30" t="s">
        <v>43</v>
      </c>
      <c r="B1" s="30"/>
      <c r="C1" s="2"/>
    </row>
    <row r="2" spans="1:3">
      <c r="A2" s="31" t="s">
        <v>44</v>
      </c>
      <c r="B2" s="31"/>
      <c r="C2" s="31"/>
    </row>
    <row r="3" spans="1:3">
      <c r="A3" s="32" t="s">
        <v>45</v>
      </c>
      <c r="B3" s="32"/>
      <c r="C3" s="22">
        <f>Data!E2</f>
        <v>0</v>
      </c>
    </row>
    <row r="4" spans="1:3">
      <c r="A4" s="32" t="s">
        <v>46</v>
      </c>
      <c r="B4" s="32"/>
      <c r="C4" s="22">
        <v>2259</v>
      </c>
    </row>
    <row r="5" spans="1:3">
      <c r="A5" s="33" t="s">
        <v>47</v>
      </c>
      <c r="B5" s="33"/>
      <c r="C5" s="22">
        <f>Data!D2</f>
        <v>0</v>
      </c>
    </row>
    <row r="6" spans="1:3">
      <c r="A6" s="24" t="s">
        <v>48</v>
      </c>
      <c r="B6" s="24"/>
      <c r="C6" s="23">
        <f>Data!C2</f>
        <v>0</v>
      </c>
    </row>
    <row r="7" spans="1:3">
      <c r="A7" s="25" t="s">
        <v>49</v>
      </c>
      <c r="B7" s="25"/>
      <c r="C7" s="23">
        <f>Data!B2</f>
        <v>0</v>
      </c>
    </row>
    <row r="8" spans="1:3">
      <c r="A8" s="26"/>
      <c r="B8" s="26"/>
      <c r="C8" s="26"/>
    </row>
    <row r="9" spans="1:3">
      <c r="A9" s="28" t="s">
        <v>50</v>
      </c>
      <c r="B9" s="29"/>
      <c r="C9" s="3" t="s">
        <v>51</v>
      </c>
    </row>
    <row r="10" spans="1:3">
      <c r="A10" s="28"/>
      <c r="B10" s="29"/>
      <c r="C10" s="4" t="s">
        <v>52</v>
      </c>
    </row>
    <row r="11" spans="1:3">
      <c r="A11" s="5">
        <v>1</v>
      </c>
      <c r="B11" s="1" t="s">
        <v>53</v>
      </c>
      <c r="C11" s="14">
        <f>C12+C16</f>
        <v>0</v>
      </c>
    </row>
    <row r="12" spans="1:3">
      <c r="A12" s="1">
        <v>2</v>
      </c>
      <c r="B12" s="1" t="s">
        <v>54</v>
      </c>
      <c r="C12" s="14">
        <f>SUM(C13:C14)</f>
        <v>0</v>
      </c>
    </row>
    <row r="13" spans="1:3">
      <c r="A13" s="5">
        <v>2.1</v>
      </c>
      <c r="B13" s="5" t="s">
        <v>55</v>
      </c>
      <c r="C13" s="15">
        <f>SUM(Data!F2)</f>
        <v>0</v>
      </c>
    </row>
    <row r="14" spans="1:3">
      <c r="A14" s="5">
        <v>2.2000000000000002</v>
      </c>
      <c r="B14" s="5" t="s">
        <v>56</v>
      </c>
      <c r="C14" s="16">
        <f>SUM(Data!G2)</f>
        <v>0</v>
      </c>
    </row>
    <row r="15" spans="1:3">
      <c r="A15" s="5"/>
      <c r="B15" s="5"/>
      <c r="C15" s="17"/>
    </row>
    <row r="16" spans="1:3">
      <c r="A16" s="5">
        <v>3</v>
      </c>
      <c r="B16" s="1" t="s">
        <v>57</v>
      </c>
      <c r="C16" s="14">
        <f>SUM(C17:C23)</f>
        <v>0</v>
      </c>
    </row>
    <row r="17" spans="1:3">
      <c r="A17" s="5">
        <v>3.1</v>
      </c>
      <c r="B17" s="5" t="s">
        <v>58</v>
      </c>
      <c r="C17" s="15">
        <f>SUM(Data!H2)</f>
        <v>0</v>
      </c>
    </row>
    <row r="18" spans="1:3">
      <c r="A18" s="5">
        <v>3.2</v>
      </c>
      <c r="B18" s="6" t="s">
        <v>59</v>
      </c>
      <c r="C18" s="15">
        <f>SUM(Data!N2)</f>
        <v>0</v>
      </c>
    </row>
    <row r="19" spans="1:3">
      <c r="A19" s="5">
        <v>3.3</v>
      </c>
      <c r="B19" s="6" t="s">
        <v>60</v>
      </c>
      <c r="C19" s="15">
        <f>SUM(Data!M2)</f>
        <v>0</v>
      </c>
    </row>
    <row r="20" spans="1:3">
      <c r="A20" s="5">
        <v>3.4</v>
      </c>
      <c r="B20" s="6" t="s">
        <v>61</v>
      </c>
      <c r="C20" s="15">
        <f>SUM(Data!L2)</f>
        <v>0</v>
      </c>
    </row>
    <row r="21" spans="1:3">
      <c r="A21" s="5">
        <v>3.5</v>
      </c>
      <c r="B21" s="6" t="s">
        <v>10</v>
      </c>
      <c r="C21" s="15">
        <f>SUM(Data!K2)</f>
        <v>0</v>
      </c>
    </row>
    <row r="22" spans="1:3" ht="16" customHeight="1">
      <c r="A22" s="5">
        <v>3.6</v>
      </c>
      <c r="B22" s="7" t="s">
        <v>62</v>
      </c>
      <c r="C22" s="15">
        <f>SUM(Data!J2)</f>
        <v>0</v>
      </c>
    </row>
    <row r="23" spans="1:3">
      <c r="A23" s="5">
        <v>3.7</v>
      </c>
      <c r="B23" s="7" t="s">
        <v>63</v>
      </c>
      <c r="C23" s="15">
        <f>SUM(Data!I2)</f>
        <v>0</v>
      </c>
    </row>
    <row r="24" spans="1:3">
      <c r="A24" s="5"/>
      <c r="B24" s="7"/>
      <c r="C24" s="17"/>
    </row>
    <row r="25" spans="1:3">
      <c r="A25" s="5">
        <v>4</v>
      </c>
      <c r="B25" s="1" t="s">
        <v>64</v>
      </c>
      <c r="C25" s="14">
        <f>C26+C27+C28+C29+C30+C31</f>
        <v>0</v>
      </c>
    </row>
    <row r="26" spans="1:3">
      <c r="A26" s="5">
        <v>4.0999999999999996</v>
      </c>
      <c r="B26" s="5" t="s">
        <v>65</v>
      </c>
      <c r="C26" s="15">
        <f>SUM(Data!O2)</f>
        <v>0</v>
      </c>
    </row>
    <row r="27" spans="1:3">
      <c r="A27" s="5">
        <v>4.2</v>
      </c>
      <c r="B27" s="5" t="s">
        <v>66</v>
      </c>
      <c r="C27" s="15">
        <f>SUM(Data!P2)</f>
        <v>0</v>
      </c>
    </row>
    <row r="28" spans="1:3">
      <c r="A28" s="5">
        <v>4.3</v>
      </c>
      <c r="B28" s="5" t="s">
        <v>67</v>
      </c>
      <c r="C28" s="18">
        <f>SUM(Data!Q2)</f>
        <v>0</v>
      </c>
    </row>
    <row r="29" spans="1:3">
      <c r="A29" s="5">
        <v>4.4000000000000004</v>
      </c>
      <c r="B29" s="5" t="s">
        <v>68</v>
      </c>
      <c r="C29" s="15">
        <f>SUM(Data!R2)</f>
        <v>0</v>
      </c>
    </row>
    <row r="30" spans="1:3">
      <c r="A30" s="5">
        <v>4.5</v>
      </c>
      <c r="B30" s="5" t="s">
        <v>69</v>
      </c>
      <c r="C30" s="16">
        <f>SUM(Data!S2)</f>
        <v>0</v>
      </c>
    </row>
    <row r="31" spans="1:3">
      <c r="A31" s="5">
        <v>4.5999999999999996</v>
      </c>
      <c r="B31" s="5" t="s">
        <v>70</v>
      </c>
      <c r="C31" s="18"/>
    </row>
    <row r="32" spans="1:3">
      <c r="A32" s="5">
        <v>5</v>
      </c>
      <c r="B32" s="1" t="s">
        <v>71</v>
      </c>
      <c r="C32" s="14">
        <f>C11-C25</f>
        <v>0</v>
      </c>
    </row>
    <row r="33" spans="1:3">
      <c r="A33" s="5"/>
      <c r="B33" s="5"/>
      <c r="C33" s="17"/>
    </row>
    <row r="34" spans="1:3">
      <c r="A34" s="5">
        <v>6</v>
      </c>
      <c r="B34" s="1" t="s">
        <v>72</v>
      </c>
      <c r="C34" s="14">
        <f>C35-C36</f>
        <v>0</v>
      </c>
    </row>
    <row r="35" spans="1:3">
      <c r="A35" s="5">
        <v>6.1</v>
      </c>
      <c r="B35" s="5" t="s">
        <v>73</v>
      </c>
      <c r="C35" s="18">
        <f>SUM(Data!U2)</f>
        <v>0</v>
      </c>
    </row>
    <row r="36" spans="1:3">
      <c r="A36" s="5">
        <v>6.2</v>
      </c>
      <c r="B36" s="5" t="s">
        <v>74</v>
      </c>
      <c r="C36" s="18">
        <f>SUM(Data!V2)</f>
        <v>0</v>
      </c>
    </row>
    <row r="37" spans="1:3">
      <c r="A37" s="1"/>
      <c r="B37" s="9"/>
      <c r="C37" s="19"/>
    </row>
    <row r="38" spans="1:3">
      <c r="A38" s="5">
        <v>7</v>
      </c>
      <c r="B38" s="1" t="s">
        <v>75</v>
      </c>
      <c r="C38" s="20">
        <f>SUM(C39:C43)</f>
        <v>0</v>
      </c>
    </row>
    <row r="39" spans="1:3">
      <c r="A39" s="5">
        <v>7.1</v>
      </c>
      <c r="B39" s="5" t="s">
        <v>76</v>
      </c>
      <c r="C39" s="18">
        <f>SUM(Data!W2)</f>
        <v>0</v>
      </c>
    </row>
    <row r="40" spans="1:3">
      <c r="A40" s="5">
        <v>7.2</v>
      </c>
      <c r="B40" s="5" t="s">
        <v>77</v>
      </c>
      <c r="C40" s="15">
        <f>SUM(Data!X2)</f>
        <v>0</v>
      </c>
    </row>
    <row r="41" spans="1:3">
      <c r="A41" s="5">
        <v>7.3</v>
      </c>
      <c r="B41" s="5" t="s">
        <v>78</v>
      </c>
      <c r="C41" s="15">
        <f>SUM(Data!Y2)</f>
        <v>0</v>
      </c>
    </row>
    <row r="42" spans="1:3">
      <c r="A42" s="5">
        <v>7.4</v>
      </c>
      <c r="B42" s="5" t="s">
        <v>79</v>
      </c>
      <c r="C42" s="15">
        <f>SUM(Data!Z2)</f>
        <v>0</v>
      </c>
    </row>
    <row r="43" spans="1:3">
      <c r="A43" s="5">
        <v>7.5</v>
      </c>
      <c r="B43" s="5" t="s">
        <v>80</v>
      </c>
      <c r="C43" s="15">
        <f>SUM(Data!AA2)</f>
        <v>0</v>
      </c>
    </row>
    <row r="44" spans="1:3">
      <c r="A44" s="5"/>
      <c r="B44" s="5"/>
      <c r="C44" s="17"/>
    </row>
    <row r="45" spans="1:3">
      <c r="A45" s="5">
        <v>8</v>
      </c>
      <c r="B45" s="1" t="s">
        <v>81</v>
      </c>
      <c r="C45" s="14">
        <f>C32-C34-C38</f>
        <v>0</v>
      </c>
    </row>
    <row r="46" spans="1:3">
      <c r="A46" s="5"/>
      <c r="B46" s="1"/>
      <c r="C46" s="17"/>
    </row>
    <row r="47" spans="1:3">
      <c r="A47" s="5">
        <v>9</v>
      </c>
      <c r="B47" s="1" t="s">
        <v>82</v>
      </c>
      <c r="C47" s="14">
        <f>C48-C49</f>
        <v>0</v>
      </c>
    </row>
    <row r="48" spans="1:3">
      <c r="A48" s="5">
        <v>9.1</v>
      </c>
      <c r="B48" s="5" t="s">
        <v>83</v>
      </c>
      <c r="C48" s="15">
        <f>Data!AB2</f>
        <v>0</v>
      </c>
    </row>
    <row r="49" spans="1:3">
      <c r="A49" s="5">
        <v>9.1999999999999993</v>
      </c>
      <c r="B49" s="5" t="s">
        <v>84</v>
      </c>
      <c r="C49" s="15">
        <f>SUM(Data!AC2)</f>
        <v>0</v>
      </c>
    </row>
    <row r="50" spans="1:3">
      <c r="A50" s="5"/>
      <c r="B50" s="5"/>
      <c r="C50" s="17"/>
    </row>
    <row r="51" spans="1:3">
      <c r="A51" s="5">
        <v>10</v>
      </c>
      <c r="B51" s="5" t="s">
        <v>85</v>
      </c>
      <c r="C51" s="21">
        <f>C45+C47</f>
        <v>0</v>
      </c>
    </row>
    <row r="52" spans="1:3">
      <c r="A52" s="5"/>
      <c r="B52" s="5"/>
      <c r="C52" s="17"/>
    </row>
    <row r="53" spans="1:3">
      <c r="A53" s="5">
        <v>11</v>
      </c>
      <c r="B53" s="5" t="s">
        <v>86</v>
      </c>
      <c r="C53" s="18">
        <f>SUM(Data!AD2)</f>
        <v>0</v>
      </c>
    </row>
    <row r="54" spans="1:3">
      <c r="A54" s="5"/>
      <c r="B54" s="5"/>
      <c r="C54" s="17"/>
    </row>
    <row r="55" spans="1:3">
      <c r="A55" s="5">
        <v>12</v>
      </c>
      <c r="B55" s="1" t="s">
        <v>87</v>
      </c>
      <c r="C55" s="14">
        <f>C51-C53</f>
        <v>0</v>
      </c>
    </row>
    <row r="56" spans="1:3">
      <c r="A56" s="5">
        <v>13</v>
      </c>
      <c r="B56" s="5" t="s">
        <v>30</v>
      </c>
      <c r="C56" s="18">
        <f>SUM(Data!AE2)</f>
        <v>0</v>
      </c>
    </row>
    <row r="57" spans="1:3">
      <c r="A57" s="5"/>
      <c r="B57" s="5"/>
      <c r="C57" s="17"/>
    </row>
    <row r="58" spans="1:3">
      <c r="A58" s="5">
        <v>14</v>
      </c>
      <c r="B58" s="1" t="s">
        <v>88</v>
      </c>
      <c r="C58" s="14">
        <f>C55+C56</f>
        <v>0</v>
      </c>
    </row>
    <row r="59" spans="1:3">
      <c r="A59" s="27" t="s">
        <v>89</v>
      </c>
      <c r="B59" s="27"/>
      <c r="C59" s="27"/>
    </row>
    <row r="60" spans="1:3">
      <c r="A60" s="5"/>
      <c r="B60" s="1"/>
      <c r="C60" s="3"/>
    </row>
    <row r="61" spans="1:3">
      <c r="A61" s="10"/>
      <c r="B61" s="11" t="s">
        <v>90</v>
      </c>
      <c r="C61" s="12"/>
    </row>
    <row r="62" spans="1:3">
      <c r="A62" s="10"/>
      <c r="B62" s="13" t="s">
        <v>91</v>
      </c>
      <c r="C62" s="8"/>
    </row>
    <row r="63" spans="1:3">
      <c r="A63" s="5"/>
      <c r="B63" s="13" t="s">
        <v>92</v>
      </c>
      <c r="C63" s="8"/>
    </row>
    <row r="64" spans="1:3">
      <c r="A64" s="5"/>
      <c r="B64" s="11" t="s">
        <v>93</v>
      </c>
      <c r="C64" s="8"/>
    </row>
    <row r="65" spans="1:3">
      <c r="A65" s="5"/>
      <c r="B65" s="13" t="s">
        <v>94</v>
      </c>
      <c r="C65" s="8"/>
    </row>
    <row r="66" spans="1:3">
      <c r="A66" s="5"/>
      <c r="B66" s="11" t="s">
        <v>95</v>
      </c>
      <c r="C66" s="8"/>
    </row>
  </sheetData>
  <mergeCells count="11">
    <mergeCell ref="A1:B1"/>
    <mergeCell ref="A2:C2"/>
    <mergeCell ref="A3:B3"/>
    <mergeCell ref="A4:B4"/>
    <mergeCell ref="A5:B5"/>
    <mergeCell ref="A6:B6"/>
    <mergeCell ref="A7:B7"/>
    <mergeCell ref="A8:C8"/>
    <mergeCell ref="A59:C59"/>
    <mergeCell ref="A9:A10"/>
    <mergeCell ref="B9:B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C6" rgbClr="82C354"/>
    <comment s:ref="C7" rgbClr="82C3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Statement Of Compreh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created xsi:type="dcterms:W3CDTF">2022-11-14T13:06:15Z</dcterms:created>
  <dcterms:modified xsi:type="dcterms:W3CDTF">2024-04-15T11:04:09Z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9DEDE232193F408FB8058E33A0F132D1</vt:lpwstr>
  </property>
  <property fmtid="{D5CDD505-2E9C-101B-9397-08002B2CF9AE}" pid="3" name="KSOProductBuildVer">
    <vt:lpwstr>1033-11.2.0.11380</vt:lpwstr>
  </property>
</Properties>
</file>