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8A134770-0C3E-4332-9D62-D50319A4E41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Capital Adequacy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  <c r="D16" i="2"/>
  <c r="D13" i="2"/>
  <c r="D15" i="2" l="1"/>
  <c r="D14" i="2"/>
  <c r="D11" i="2"/>
  <c r="D7" i="2"/>
  <c r="D6" i="2"/>
  <c r="D5" i="2"/>
  <c r="D3" i="2"/>
  <c r="D44" i="2" l="1"/>
  <c r="D42" i="2"/>
  <c r="D41" i="2"/>
  <c r="D37" i="2"/>
  <c r="D34" i="2"/>
  <c r="D32" i="2"/>
  <c r="D31" i="2"/>
  <c r="D30" i="2"/>
  <c r="D29" i="2"/>
  <c r="D28" i="2"/>
  <c r="D27" i="2"/>
  <c r="D26" i="2"/>
  <c r="D20" i="2"/>
  <c r="D12" i="2"/>
  <c r="D21" i="2" l="1"/>
  <c r="D17" i="2"/>
  <c r="D33" i="2"/>
  <c r="D35" i="2" s="1"/>
  <c r="D23" i="2"/>
  <c r="D43" i="2"/>
  <c r="D22" i="2" l="1"/>
  <c r="D48" i="2" s="1"/>
  <c r="D50" i="2" s="1"/>
  <c r="D45" i="2" l="1"/>
  <c r="D47" i="2" s="1"/>
  <c r="D51" i="2"/>
  <c r="D5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D6" authorId="0" shapeId="0" xr:uid="{00000000-0006-0000-0100-000001000000}">
      <text>
        <r>
          <rPr>
            <b/>
            <sz val="9"/>
            <rFont val="Tahoma"/>
          </rPr>
          <t>Start Date:</t>
        </r>
        <r>
          <rPr>
            <sz val="9"/>
            <rFont val="Tahoma"/>
          </rPr>
          <t xml:space="preserve">
Start Date Of The Year</t>
        </r>
      </text>
    </comment>
    <comment ref="D7" authorId="0" shapeId="0" xr:uid="{00000000-0006-0000-0100-000002000000}">
      <text>
        <r>
          <rPr>
            <b/>
            <sz val="9"/>
            <rFont val="Tahoma"/>
          </rPr>
          <t>End Date:</t>
        </r>
        <r>
          <rPr>
            <sz val="9"/>
            <rFont val="Tahoma"/>
          </rPr>
          <t xml:space="preserve">
End Date Of Reporting Month</t>
        </r>
      </text>
    </comment>
  </commentList>
</comments>
</file>

<file path=xl/sharedStrings.xml><?xml version="1.0" encoding="utf-8"?>
<sst xmlns="http://schemas.openxmlformats.org/spreadsheetml/2006/main" count="107" uniqueCount="105">
  <si>
    <t>Name</t>
  </si>
  <si>
    <t>FinancialYear</t>
  </si>
  <si>
    <t>AsAt</t>
  </si>
  <si>
    <t>StartDate</t>
  </si>
  <si>
    <t>ShareCapital</t>
  </si>
  <si>
    <t>StatutoryReserve</t>
  </si>
  <si>
    <t>Otherreserves</t>
  </si>
  <si>
    <t>retainedEarnins</t>
  </si>
  <si>
    <t>NetSurplusaftertax</t>
  </si>
  <si>
    <t>LoansandAdvances</t>
  </si>
  <si>
    <t>totalassetsPBSheet</t>
  </si>
  <si>
    <t>Cash</t>
  </si>
  <si>
    <t>PropertyandEquipment</t>
  </si>
  <si>
    <t>GovernmentSecurities</t>
  </si>
  <si>
    <t>DepositsandBalancesatOtherInstitutions</t>
  </si>
  <si>
    <t>Otherassets</t>
  </si>
  <si>
    <t>CapitalGrants</t>
  </si>
  <si>
    <t>InvestmentsinSubsidiary</t>
  </si>
  <si>
    <t>OFFBALANCESHEETASSETS</t>
  </si>
  <si>
    <t>TOTALOnBalanceSheet</t>
  </si>
  <si>
    <t>OtherDeductions</t>
  </si>
  <si>
    <t>Sub_Total</t>
  </si>
  <si>
    <t>TotalDeductions</t>
  </si>
  <si>
    <t>CORECAPITAL</t>
  </si>
  <si>
    <t>RetainedearningsandDisclosedreserves</t>
  </si>
  <si>
    <t>TotalAssets</t>
  </si>
  <si>
    <t>TotalDepositsLiabilities</t>
  </si>
  <si>
    <t>CorecapitaltoAssetsRatio</t>
  </si>
  <si>
    <t>MinimumCoreCapitaltoAssetsRatioRequirement</t>
  </si>
  <si>
    <t>Excess1</t>
  </si>
  <si>
    <t>RetainedearningsanddisclosedreservestoCorecapital</t>
  </si>
  <si>
    <t>MinimumRetainedearningsanddisclosed</t>
  </si>
  <si>
    <t>Excess2</t>
  </si>
  <si>
    <t>CorecapitatoDepositsRatio</t>
  </si>
  <si>
    <t>MinimumCoreCapitaltoDeposits</t>
  </si>
  <si>
    <t>Excess</t>
  </si>
  <si>
    <t>FORM 2A  (r.13 (1))</t>
  </si>
  <si>
    <t xml:space="preserve"> CAPITAL ADEQUACY RETURN</t>
  </si>
  <si>
    <t>NAME OF SACCO SOCIETY:</t>
  </si>
  <si>
    <t>SACCO SOCIETY CS NUMBER:</t>
  </si>
  <si>
    <t>FINANCIAL YEAR:</t>
  </si>
  <si>
    <t>START DATE:</t>
  </si>
  <si>
    <t>END DATE:</t>
  </si>
  <si>
    <t>AMOUNT(KSHS)</t>
  </si>
  <si>
    <t>CAPITAL COMPONENTS</t>
  </si>
  <si>
    <t>CORE CAPITAL</t>
  </si>
  <si>
    <t>1.1.1</t>
  </si>
  <si>
    <t xml:space="preserve">Share Capital </t>
  </si>
  <si>
    <t>1.1.2</t>
  </si>
  <si>
    <t>Capital Grants(Equity in nature)</t>
  </si>
  <si>
    <t>1.1.3</t>
  </si>
  <si>
    <t xml:space="preserve">Retained earnings/Accumulated losses </t>
  </si>
  <si>
    <t>1.1.4</t>
  </si>
  <si>
    <t xml:space="preserve">Net Surplus after tax , current year to-date ( 50% ) </t>
  </si>
  <si>
    <t>1.1.5</t>
  </si>
  <si>
    <t>Statutory Reserves</t>
  </si>
  <si>
    <t>1.1.6</t>
  </si>
  <si>
    <t>Other reserves (Include all loss)</t>
  </si>
  <si>
    <t>1.1.7</t>
  </si>
  <si>
    <t>Sub-Total (1.1.1 to 1.1.6)</t>
  </si>
  <si>
    <t>LESS DEDUCTIONS</t>
  </si>
  <si>
    <t>1.1.8</t>
  </si>
  <si>
    <t>Investments in Subsidiary  and Equity  instruments of other Institutions</t>
  </si>
  <si>
    <t>1.1.9</t>
  </si>
  <si>
    <t>Other Deductions</t>
  </si>
  <si>
    <t>1.1.10</t>
  </si>
  <si>
    <t>Total Deductions (1.1.8 to 1.1.9)</t>
  </si>
  <si>
    <t>1.1.11</t>
  </si>
  <si>
    <t>CORE CAPITAL (1.1.7 Less 1.1.10)</t>
  </si>
  <si>
    <t>1.1.12</t>
  </si>
  <si>
    <t>Retained earnings and Disclosed reserves ( Sub total 1.1.2 to 1.1.6)</t>
  </si>
  <si>
    <t xml:space="preserve">ON - BALANCE SHEET ASSETS </t>
  </si>
  <si>
    <t xml:space="preserve">   Cash (Local + Foreign Currency)</t>
  </si>
  <si>
    <t xml:space="preserve">  Government Securities</t>
  </si>
  <si>
    <t xml:space="preserve">  Deposits and Balances at Other Institutions</t>
  </si>
  <si>
    <t xml:space="preserve">Loans and Advances </t>
  </si>
  <si>
    <t>Investments</t>
  </si>
  <si>
    <t>Property and Equipment (net of depreciation)</t>
  </si>
  <si>
    <t xml:space="preserve"> Other assets</t>
  </si>
  <si>
    <r>
      <rPr>
        <b/>
        <sz val="10"/>
        <rFont val="Cambria"/>
      </rPr>
      <t xml:space="preserve"> TOTAL (</t>
    </r>
    <r>
      <rPr>
        <sz val="10"/>
        <rFont val="Cambria"/>
      </rPr>
      <t>2.1 to 2.7</t>
    </r>
    <r>
      <rPr>
        <b/>
        <sz val="10"/>
        <rFont val="Cambria"/>
      </rPr>
      <t>)</t>
    </r>
  </si>
  <si>
    <t>Total Assets (Per Balance Sheet)</t>
  </si>
  <si>
    <t xml:space="preserve"> Difference (2.8 Less 2.9)*</t>
  </si>
  <si>
    <t>OFF-BALANCE SHEET ASSETS</t>
  </si>
  <si>
    <t>CAPITAL RATIO CALCULATIONS</t>
  </si>
  <si>
    <t>Total  Asset value of on-balance sheet items as per 2.9 above</t>
  </si>
  <si>
    <t>Total Asset value of off-balance sheet items as per 3 above</t>
  </si>
  <si>
    <t>Total Assets (4.1 + 4.2)</t>
  </si>
  <si>
    <t>Total Deposits Liabilities (As per Balance Sheet)</t>
  </si>
  <si>
    <t>Core capital to  Assets Ratio (1.1.11/4.3)%</t>
  </si>
  <si>
    <t>Minimum Core Capital to  Assets Ratio Requirement</t>
  </si>
  <si>
    <t>Excess (deficiency) (4.5 less 4.6)</t>
  </si>
  <si>
    <t>Retained earnings and disclosed reserves to Core capital (1.1.12/1.1.11)%</t>
  </si>
  <si>
    <t>Minimum Retained earnings and disclosed reserves to Core capital requirement</t>
  </si>
  <si>
    <t>Excess/(Deficiency) (4.8 less 4.9)</t>
  </si>
  <si>
    <t>Core capital to Deposits Ratio (1.1.11/4.4)%</t>
  </si>
  <si>
    <t>Minimum Core Capital to Deposits Requirement</t>
  </si>
  <si>
    <t>Excess (Deficiency) (4.11 less 4.12)</t>
  </si>
  <si>
    <t>*A reconciliation for the difference to be attached on a separate sheet</t>
  </si>
  <si>
    <r>
      <rPr>
        <b/>
        <sz val="10"/>
        <rFont val="Cambria"/>
      </rPr>
      <t>Note</t>
    </r>
    <r>
      <rPr>
        <sz val="10"/>
        <rFont val="Cambria"/>
      </rPr>
      <t>: This return should be received on or before the 15th day of the month following end of every quarter</t>
    </r>
  </si>
  <si>
    <t>AUTHORIZATION:</t>
  </si>
  <si>
    <t xml:space="preserve"> We declare that this return, to the best of our knowledge and belief is correct.</t>
  </si>
  <si>
    <t>sign…..……………………… date ………………………</t>
  </si>
  <si>
    <t>Name of Authorizing Officer</t>
  </si>
  <si>
    <t>Name of Countersigning Officer</t>
  </si>
  <si>
    <t>2259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</si>
</sst>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"/>
  </numFmts>
  <fonts count="12">
    <font>
      <sz val="11"/>
      <name val="Calibri"/>
      <charset val="134"/>
      <scheme val="minor"/>
    </font>
    <font>
      <sz val="10"/>
      <name val="Cambria"/>
    </font>
    <font>
      <b/>
      <sz val="12"/>
      <name val="Cambria"/>
    </font>
    <font>
      <b/>
      <sz val="10"/>
      <name val="Cambria"/>
    </font>
    <font>
      <sz val="10"/>
      <name val="Arial"/>
    </font>
    <font>
      <b/>
      <sz val="10"/>
      <name val="Arial"/>
    </font>
    <font>
      <b/>
      <i/>
      <sz val="10"/>
      <name val="Cambria"/>
    </font>
    <font>
      <b/>
      <sz val="10"/>
      <color indexed="60"/>
      <name val="Cambria"/>
    </font>
    <font>
      <sz val="11"/>
      <color theme="1"/>
      <name val="Calibri"/>
      <charset val="134"/>
      <scheme val="minor"/>
    </font>
    <font>
      <b/>
      <sz val="9"/>
      <name val="Tahoma"/>
    </font>
    <font>
      <sz val="9"/>
      <name val="Tahoma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4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8"/>
      </left>
      <right style="thin">
        <color indexed="59"/>
      </right>
      <top/>
      <bottom style="thin">
        <color indexed="8"/>
      </bottom>
      <diagonal/>
    </border>
    <border>
      <left style="thin">
        <color indexed="8"/>
      </left>
      <right style="thin">
        <color indexed="5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59"/>
      </right>
      <top style="thin">
        <color indexed="8"/>
      </top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>
      <alignment vertical="center"/>
    </xf>
    <xf numFmtId="0" fontId="4" fillId="0" borderId="0"/>
    <xf numFmtId="9" fontId="11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1" xfId="2" applyFont="1" applyBorder="1"/>
    <xf numFmtId="0" fontId="1" fillId="0" borderId="1" xfId="0" applyFont="1" applyBorder="1"/>
    <xf numFmtId="0" fontId="1" fillId="0" borderId="1" xfId="0" applyFont="1" applyBorder="1" applyProtection="1"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" fillId="0" borderId="5" xfId="0" applyFont="1" applyBorder="1" applyProtection="1">
      <protection locked="0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wrapText="1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6" xfId="0" applyFont="1" applyBorder="1"/>
    <xf numFmtId="165" fontId="1" fillId="0" borderId="1" xfId="0" applyNumberFormat="1" applyFont="1" applyBorder="1" applyAlignment="1">
      <alignment horizontal="left"/>
    </xf>
    <xf numFmtId="0" fontId="3" fillId="0" borderId="8" xfId="0" applyFont="1" applyBorder="1"/>
    <xf numFmtId="0" fontId="1" fillId="0" borderId="9" xfId="0" applyFont="1" applyBorder="1" applyAlignment="1">
      <alignment wrapText="1"/>
    </xf>
    <xf numFmtId="0" fontId="1" fillId="0" borderId="3" xfId="0" applyFont="1" applyBorder="1" applyAlignment="1">
      <alignment horizontal="left"/>
    </xf>
    <xf numFmtId="0" fontId="3" fillId="0" borderId="4" xfId="0" applyFont="1" applyBorder="1"/>
    <xf numFmtId="0" fontId="1" fillId="0" borderId="9" xfId="0" applyFont="1" applyBorder="1"/>
    <xf numFmtId="0" fontId="1" fillId="0" borderId="4" xfId="0" applyFont="1" applyBorder="1"/>
    <xf numFmtId="2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4" xfId="0" applyFont="1" applyBorder="1"/>
    <xf numFmtId="0" fontId="1" fillId="0" borderId="4" xfId="0" applyFont="1" applyBorder="1" applyProtection="1">
      <protection locked="0"/>
    </xf>
    <xf numFmtId="0" fontId="7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7" fillId="0" borderId="4" xfId="0" applyFont="1" applyBorder="1" applyAlignment="1" applyProtection="1">
      <alignment horizontal="left" vertical="top"/>
      <protection locked="0"/>
    </xf>
    <xf numFmtId="0" fontId="3" fillId="0" borderId="4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14" fontId="4" fillId="0" borderId="4" xfId="0" applyNumberFormat="1" applyFont="1" applyBorder="1" applyProtection="1">
      <protection locked="0"/>
    </xf>
    <xf numFmtId="164" fontId="1" fillId="0" borderId="1" xfId="1" applyFont="1" applyBorder="1" applyAlignment="1" applyProtection="1">
      <protection locked="0"/>
    </xf>
    <xf numFmtId="164" fontId="1" fillId="0" borderId="1" xfId="1" applyFont="1" applyFill="1" applyBorder="1" applyAlignment="1" applyProtection="1">
      <alignment horizontal="right"/>
      <protection locked="0"/>
    </xf>
    <xf numFmtId="164" fontId="3" fillId="2" borderId="1" xfId="1" applyFont="1" applyFill="1" applyBorder="1" applyAlignment="1" applyProtection="1">
      <alignment horizontal="right"/>
    </xf>
    <xf numFmtId="164" fontId="1" fillId="0" borderId="1" xfId="1" applyFont="1" applyBorder="1" applyAlignment="1"/>
    <xf numFmtId="164" fontId="1" fillId="0" borderId="1" xfId="1" applyFont="1" applyFill="1" applyBorder="1" applyAlignment="1" applyProtection="1">
      <protection locked="0"/>
    </xf>
    <xf numFmtId="164" fontId="3" fillId="2" borderId="1" xfId="1" applyFont="1" applyFill="1" applyBorder="1" applyAlignment="1" applyProtection="1"/>
    <xf numFmtId="164" fontId="1" fillId="2" borderId="1" xfId="1" applyFont="1" applyFill="1" applyBorder="1" applyAlignment="1" applyProtection="1"/>
    <xf numFmtId="164" fontId="1" fillId="0" borderId="1" xfId="1" applyFont="1" applyFill="1" applyBorder="1" applyAlignment="1" applyProtection="1"/>
    <xf numFmtId="164" fontId="3" fillId="0" borderId="1" xfId="1" applyFont="1" applyFill="1" applyBorder="1" applyAlignment="1" applyProtection="1">
      <protection locked="0"/>
    </xf>
    <xf numFmtId="164" fontId="3" fillId="2" borderId="10" xfId="1" applyFont="1" applyFill="1" applyBorder="1" applyAlignment="1" applyProtection="1">
      <alignment horizontal="right"/>
    </xf>
    <xf numFmtId="9" fontId="3" fillId="0" borderId="12" xfId="3" applyFont="1" applyFill="1" applyBorder="1" applyAlignment="1" applyProtection="1">
      <alignment horizontal="right"/>
    </xf>
    <xf numFmtId="9" fontId="3" fillId="0" borderId="4" xfId="3" applyFont="1" applyFill="1" applyBorder="1" applyAlignment="1" applyProtection="1">
      <alignment horizontal="right"/>
    </xf>
    <xf numFmtId="9" fontId="5" fillId="0" borderId="12" xfId="3" applyFont="1" applyFill="1" applyBorder="1" applyAlignment="1" applyProtection="1">
      <alignment horizontal="right"/>
    </xf>
    <xf numFmtId="9" fontId="4" fillId="2" borderId="4" xfId="3" applyFont="1" applyFill="1" applyBorder="1" applyAlignment="1" applyProtection="1">
      <alignment horizontal="right"/>
    </xf>
    <xf numFmtId="9" fontId="1" fillId="2" borderId="13" xfId="3" applyFont="1" applyFill="1" applyBorder="1" applyAlignment="1" applyProtection="1">
      <alignment horizontal="right"/>
    </xf>
    <xf numFmtId="9" fontId="1" fillId="2" borderId="4" xfId="3" applyFont="1" applyFill="1" applyBorder="1" applyAlignment="1" applyProtection="1">
      <alignment horizontal="right"/>
    </xf>
    <xf numFmtId="9" fontId="4" fillId="2" borderId="11" xfId="3" applyFont="1" applyFill="1" applyBorder="1" applyAlignment="1" applyProtection="1">
      <alignment horizontal="right"/>
    </xf>
    <xf numFmtId="49" fontId="3" fillId="0" borderId="1" xfId="0" applyNumberFormat="1" applyFont="1" applyBorder="1" applyAlignment="1" applyProtection="1">
      <alignment horizontal="right"/>
      <protection locked="0"/>
    </xf>
  </cellXfs>
  <cellStyles count="4">
    <cellStyle name="Comma" xfId="1" builtinId="3"/>
    <cellStyle name="Normal" xfId="0" builtinId="0"/>
    <cellStyle name="Normal 2 10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J2" insertRow="1" totalsRowShown="0">
  <autoFilter ref="A1:AJ2" xr:uid="{00000000-0009-0000-0100-000001000000}"/>
  <tableColumns count="36">
    <tableColumn id="1" xr3:uid="{00000000-0010-0000-0000-000001000000}" name="Name"/>
    <tableColumn id="2" xr3:uid="{00000000-0010-0000-0000-000002000000}" name="FinancialYear"/>
    <tableColumn id="3" xr3:uid="{00000000-0010-0000-0000-000003000000}" name="AsAt"/>
    <tableColumn id="4" xr3:uid="{00000000-0010-0000-0000-000004000000}" name="StartDate"/>
    <tableColumn id="5" xr3:uid="{00000000-0010-0000-0000-000005000000}" name="ShareCapital"/>
    <tableColumn id="6" xr3:uid="{00000000-0010-0000-0000-000006000000}" name="StatutoryReserve"/>
    <tableColumn id="7" xr3:uid="{00000000-0010-0000-0000-000007000000}" name="Otherreserves"/>
    <tableColumn id="8" xr3:uid="{00000000-0010-0000-0000-000008000000}" name="retainedEarnins"/>
    <tableColumn id="9" xr3:uid="{00000000-0010-0000-0000-000009000000}" name="NetSurplusaftertax"/>
    <tableColumn id="10" xr3:uid="{00000000-0010-0000-0000-00000A000000}" name="LoansandAdvances"/>
    <tableColumn id="11" xr3:uid="{00000000-0010-0000-0000-00000B000000}" name="totalassetsPBSheet"/>
    <tableColumn id="12" xr3:uid="{00000000-0010-0000-0000-00000C000000}" name="Cash"/>
    <tableColumn id="13" xr3:uid="{00000000-0010-0000-0000-00000D000000}" name="PropertyandEquipment"/>
    <tableColumn id="14" xr3:uid="{00000000-0010-0000-0000-00000E000000}" name="GovernmentSecurities"/>
    <tableColumn id="15" xr3:uid="{00000000-0010-0000-0000-00000F000000}" name="DepositsandBalancesatOtherInstitutions"/>
    <tableColumn id="16" xr3:uid="{00000000-0010-0000-0000-000010000000}" name="Otherassets"/>
    <tableColumn id="17" xr3:uid="{00000000-0010-0000-0000-000011000000}" name="CapitalGrants"/>
    <tableColumn id="18" xr3:uid="{00000000-0010-0000-0000-000012000000}" name="InvestmentsinSubsidiary"/>
    <tableColumn id="19" xr3:uid="{00000000-0010-0000-0000-000013000000}" name="OFFBALANCESHEETASSETS"/>
    <tableColumn id="20" xr3:uid="{00000000-0010-0000-0000-000014000000}" name="TOTALOnBalanceSheet"/>
    <tableColumn id="21" xr3:uid="{00000000-0010-0000-0000-000015000000}" name="OtherDeductions"/>
    <tableColumn id="22" xr3:uid="{00000000-0010-0000-0000-000016000000}" name="Sub_Total"/>
    <tableColumn id="23" xr3:uid="{00000000-0010-0000-0000-000017000000}" name="TotalDeductions"/>
    <tableColumn id="24" xr3:uid="{00000000-0010-0000-0000-000018000000}" name="CORECAPITAL"/>
    <tableColumn id="25" xr3:uid="{00000000-0010-0000-0000-000019000000}" name="RetainedearningsandDisclosedreserves"/>
    <tableColumn id="26" xr3:uid="{00000000-0010-0000-0000-00001A000000}" name="TotalAssets"/>
    <tableColumn id="27" xr3:uid="{00000000-0010-0000-0000-00001B000000}" name="TotalDepositsLiabilities"/>
    <tableColumn id="28" xr3:uid="{00000000-0010-0000-0000-00001C000000}" name="CorecapitaltoAssetsRatio"/>
    <tableColumn id="29" xr3:uid="{00000000-0010-0000-0000-00001D000000}" name="MinimumCoreCapitaltoAssetsRatioRequirement"/>
    <tableColumn id="30" xr3:uid="{00000000-0010-0000-0000-00001E000000}" name="Excess1"/>
    <tableColumn id="31" xr3:uid="{00000000-0010-0000-0000-00001F000000}" name="RetainedearningsanddisclosedreservestoCorecapital"/>
    <tableColumn id="32" xr3:uid="{00000000-0010-0000-0000-000020000000}" name="MinimumRetainedearningsanddisclosed"/>
    <tableColumn id="33" xr3:uid="{00000000-0010-0000-0000-000021000000}" name="Excess2"/>
    <tableColumn id="34" xr3:uid="{00000000-0010-0000-0000-000022000000}" name="CorecapitatoDepositsRatio"/>
    <tableColumn id="35" xr3:uid="{00000000-0010-0000-0000-000023000000}" name="MinimumCoreCapitaltoDeposits"/>
    <tableColumn id="36" xr3:uid="{00000000-0010-0000-0000-000024000000}" name="Exc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opLeftCell="L1" workbookViewId="0">
      <pane ySplit="1" topLeftCell="A2" activePane="bottomLeft" state="frozen"/>
      <selection pane="bottomLeft" activeCell="R2" sqref="R2"/>
    </sheetView>
  </sheetViews>
  <sheetFormatPr defaultColWidth="9" defaultRowHeight="14.5"/>
  <cols>
    <col min="1" max="1" width="8.54296875" bestFit="1" customWidth="1"/>
    <col min="2" max="2" width="15.1796875" bestFit="1" customWidth="1"/>
    <col min="3" max="3" width="7.453125" bestFit="1" customWidth="1"/>
    <col min="4" max="4" width="11.54296875" bestFit="1" customWidth="1"/>
    <col min="5" max="5" width="14.453125" bestFit="1" customWidth="1"/>
    <col min="6" max="6" width="18.7265625" bestFit="1" customWidth="1"/>
    <col min="7" max="7" width="16.1796875" bestFit="1" customWidth="1"/>
    <col min="8" max="8" width="17.453125" bestFit="1" customWidth="1"/>
    <col min="9" max="9" width="20.453125" bestFit="1" customWidth="1"/>
    <col min="10" max="10" width="20.26953125" bestFit="1" customWidth="1"/>
    <col min="11" max="11" width="20.54296875" bestFit="1" customWidth="1"/>
    <col min="12" max="12" width="7.453125" bestFit="1" customWidth="1"/>
    <col min="13" max="13" width="24.453125" bestFit="1" customWidth="1"/>
    <col min="14" max="14" width="23.7265625" bestFit="1" customWidth="1"/>
    <col min="15" max="15" width="39.81640625" bestFit="1" customWidth="1"/>
    <col min="16" max="16" width="13.81640625" bestFit="1" customWidth="1"/>
    <col min="17" max="17" width="15.453125" bestFit="1" customWidth="1"/>
    <col min="18" max="18" width="25.54296875" bestFit="1" customWidth="1"/>
    <col min="19" max="19" width="26.81640625" bestFit="1" customWidth="1"/>
    <col min="20" max="20" width="23.81640625" bestFit="1" customWidth="1"/>
    <col min="21" max="21" width="18.54296875" bestFit="1" customWidth="1"/>
    <col min="22" max="22" width="12" bestFit="1" customWidth="1"/>
    <col min="23" max="23" width="17.81640625" bestFit="1" customWidth="1"/>
    <col min="24" max="24" width="15.453125" bestFit="1" customWidth="1"/>
    <col min="25" max="25" width="39" bestFit="1" customWidth="1"/>
    <col min="26" max="26" width="13.453125" bestFit="1" customWidth="1"/>
    <col min="27" max="27" width="24.453125" bestFit="1" customWidth="1"/>
    <col min="28" max="28" width="25.81640625" bestFit="1" customWidth="1"/>
    <col min="29" max="29" width="47.26953125" bestFit="1" customWidth="1"/>
    <col min="30" max="30" width="10" bestFit="1" customWidth="1"/>
    <col min="31" max="31" width="51.1796875" bestFit="1" customWidth="1"/>
    <col min="32" max="32" width="40" bestFit="1" customWidth="1"/>
    <col min="33" max="33" width="10" bestFit="1" customWidth="1"/>
    <col min="34" max="34" width="27.26953125" bestFit="1" customWidth="1"/>
    <col min="35" max="35" width="32.5429687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tabSelected="1" workbookViewId="0">
      <selection activeCell="D4" sqref="D4"/>
    </sheetView>
  </sheetViews>
  <sheetFormatPr defaultColWidth="9.1796875" defaultRowHeight="14.5"/>
  <cols>
    <col min="1" max="1" width="4.26953125" customWidth="1"/>
    <col min="2" max="2" width="6.453125" customWidth="1"/>
    <col min="3" max="3" width="94.54296875" customWidth="1"/>
    <col min="4" max="4" width="16" customWidth="1"/>
  </cols>
  <sheetData>
    <row r="1" spans="1:4" ht="15.5">
      <c r="A1" s="1"/>
      <c r="B1" s="2" t="s">
        <v>36</v>
      </c>
      <c r="C1" s="3"/>
      <c r="D1" s="4"/>
    </row>
    <row r="2" spans="1:4">
      <c r="A2" s="1"/>
      <c r="B2" s="3"/>
      <c r="C2" s="5" t="s">
        <v>37</v>
      </c>
      <c r="D2" s="6"/>
    </row>
    <row r="3" spans="1:4">
      <c r="A3" s="1"/>
      <c r="B3" s="3"/>
      <c r="C3" s="7" t="s">
        <v>38</v>
      </c>
      <c r="D3">
        <f>Data[Name]</f>
        <v>0</v>
      </c>
    </row>
    <row r="4" spans="1:4">
      <c r="A4" s="1"/>
      <c r="B4" s="3"/>
      <c r="C4" s="7" t="s">
        <v>39</v>
      </c>
      <c r="D4" s="54" t="s">
        <v>104</v>
      </c>
    </row>
    <row r="5" spans="1:4">
      <c r="A5" s="1"/>
      <c r="B5" s="3"/>
      <c r="C5" s="8" t="s">
        <v>40</v>
      </c>
      <c r="D5" s="35">
        <f>Data[FinancialYear]</f>
        <v>0</v>
      </c>
    </row>
    <row r="6" spans="1:4">
      <c r="A6" s="1"/>
      <c r="B6" s="3"/>
      <c r="C6" s="9" t="s">
        <v>41</v>
      </c>
      <c r="D6" s="36">
        <f>Data[StartDate]</f>
        <v>0</v>
      </c>
    </row>
    <row r="7" spans="1:4">
      <c r="A7" s="1"/>
      <c r="B7" s="3"/>
      <c r="C7" s="10" t="s">
        <v>42</v>
      </c>
      <c r="D7" s="36">
        <f>Data[AsAt]</f>
        <v>0</v>
      </c>
    </row>
    <row r="8" spans="1:4">
      <c r="A8" s="1"/>
      <c r="B8" s="3"/>
      <c r="C8" s="3"/>
      <c r="D8" s="11" t="s">
        <v>43</v>
      </c>
    </row>
    <row r="9" spans="1:4">
      <c r="A9" s="1"/>
      <c r="B9" s="12">
        <v>1</v>
      </c>
      <c r="C9" s="5" t="s">
        <v>44</v>
      </c>
      <c r="D9" s="37"/>
    </row>
    <row r="10" spans="1:4">
      <c r="A10" s="1"/>
      <c r="B10" s="12">
        <v>1.1000000000000001</v>
      </c>
      <c r="C10" s="5" t="s">
        <v>45</v>
      </c>
      <c r="D10" s="37"/>
    </row>
    <row r="11" spans="1:4">
      <c r="A11" s="1"/>
      <c r="B11" s="12" t="s">
        <v>46</v>
      </c>
      <c r="C11" s="13" t="s">
        <v>47</v>
      </c>
      <c r="D11" s="38">
        <f>SUM(Data!E2)</f>
        <v>0</v>
      </c>
    </row>
    <row r="12" spans="1:4">
      <c r="A12" s="1"/>
      <c r="B12" s="12" t="s">
        <v>48</v>
      </c>
      <c r="C12" s="14" t="s">
        <v>49</v>
      </c>
      <c r="D12" s="38">
        <f>SUM(Data!Q2)</f>
        <v>0</v>
      </c>
    </row>
    <row r="13" spans="1:4">
      <c r="A13" s="1"/>
      <c r="B13" s="12" t="s">
        <v>50</v>
      </c>
      <c r="C13" s="14" t="s">
        <v>51</v>
      </c>
      <c r="D13" s="38">
        <f>SUM(Data!H2)</f>
        <v>0</v>
      </c>
    </row>
    <row r="14" spans="1:4" ht="28" customHeight="1">
      <c r="A14" s="1"/>
      <c r="B14" s="12" t="s">
        <v>52</v>
      </c>
      <c r="C14" s="15" t="s">
        <v>53</v>
      </c>
      <c r="D14" s="38">
        <f>SUM(Data!I2)</f>
        <v>0</v>
      </c>
    </row>
    <row r="15" spans="1:4">
      <c r="A15" s="1"/>
      <c r="B15" s="12" t="s">
        <v>54</v>
      </c>
      <c r="C15" s="14" t="s">
        <v>55</v>
      </c>
      <c r="D15" s="38">
        <f>SUM(Data!F2)</f>
        <v>0</v>
      </c>
    </row>
    <row r="16" spans="1:4">
      <c r="A16" s="1"/>
      <c r="B16" s="12" t="s">
        <v>56</v>
      </c>
      <c r="C16" s="14" t="s">
        <v>57</v>
      </c>
      <c r="D16" s="38">
        <f>SUM(Data!G2)</f>
        <v>0</v>
      </c>
    </row>
    <row r="17" spans="1:4">
      <c r="A17" s="1"/>
      <c r="B17" s="12" t="s">
        <v>58</v>
      </c>
      <c r="C17" s="16" t="s">
        <v>59</v>
      </c>
      <c r="D17" s="39">
        <f>SUM(D11:D16)</f>
        <v>0</v>
      </c>
    </row>
    <row r="18" spans="1:4">
      <c r="A18" s="1"/>
      <c r="B18" s="12"/>
      <c r="C18" s="17" t="s">
        <v>60</v>
      </c>
      <c r="D18" s="40"/>
    </row>
    <row r="19" spans="1:4" ht="29.15" customHeight="1">
      <c r="A19" s="1"/>
      <c r="B19" s="12" t="s">
        <v>61</v>
      </c>
      <c r="C19" s="15" t="s">
        <v>62</v>
      </c>
      <c r="D19" s="41">
        <f>SUM(Data!Q2)</f>
        <v>0</v>
      </c>
    </row>
    <row r="20" spans="1:4">
      <c r="A20" s="1"/>
      <c r="B20" s="12" t="s">
        <v>63</v>
      </c>
      <c r="C20" s="14" t="s">
        <v>64</v>
      </c>
      <c r="D20" s="41">
        <f>SUM(Data!U2)</f>
        <v>0</v>
      </c>
    </row>
    <row r="21" spans="1:4">
      <c r="A21" s="1"/>
      <c r="B21" s="12" t="s">
        <v>65</v>
      </c>
      <c r="C21" s="16" t="s">
        <v>66</v>
      </c>
      <c r="D21" s="42">
        <f>D19+D20</f>
        <v>0</v>
      </c>
    </row>
    <row r="22" spans="1:4">
      <c r="A22" s="1"/>
      <c r="B22" s="12" t="s">
        <v>67</v>
      </c>
      <c r="C22" s="16" t="s">
        <v>68</v>
      </c>
      <c r="D22" s="43">
        <f>D17-D21</f>
        <v>0</v>
      </c>
    </row>
    <row r="23" spans="1:4">
      <c r="A23" s="1"/>
      <c r="B23" s="12" t="s">
        <v>69</v>
      </c>
      <c r="C23" s="16" t="s">
        <v>70</v>
      </c>
      <c r="D23" s="42">
        <f>D12+D13+D14+D15+D16</f>
        <v>0</v>
      </c>
    </row>
    <row r="24" spans="1:4">
      <c r="A24" s="1"/>
      <c r="B24" s="12"/>
      <c r="C24" s="1"/>
      <c r="D24" s="44"/>
    </row>
    <row r="25" spans="1:4">
      <c r="A25" s="1"/>
      <c r="B25" s="8">
        <v>2</v>
      </c>
      <c r="C25" s="18" t="s">
        <v>71</v>
      </c>
      <c r="D25" s="41"/>
    </row>
    <row r="26" spans="1:4">
      <c r="A26" s="1"/>
      <c r="B26" s="12">
        <v>2.1</v>
      </c>
      <c r="C26" s="14" t="s">
        <v>72</v>
      </c>
      <c r="D26" s="41">
        <f>SUM(Data!L2)</f>
        <v>0</v>
      </c>
    </row>
    <row r="27" spans="1:4">
      <c r="A27" s="1"/>
      <c r="B27" s="12">
        <v>2.2000000000000002</v>
      </c>
      <c r="C27" s="14" t="s">
        <v>73</v>
      </c>
      <c r="D27" s="41">
        <f>SUM(Data!N2)</f>
        <v>0</v>
      </c>
    </row>
    <row r="28" spans="1:4">
      <c r="A28" s="1"/>
      <c r="B28" s="12">
        <v>2.2999999999999998</v>
      </c>
      <c r="C28" s="14" t="s">
        <v>74</v>
      </c>
      <c r="D28" s="41">
        <f>SUM(Data!O2)</f>
        <v>0</v>
      </c>
    </row>
    <row r="29" spans="1:4">
      <c r="A29" s="1"/>
      <c r="B29" s="12">
        <v>2.4</v>
      </c>
      <c r="C29" s="14" t="s">
        <v>75</v>
      </c>
      <c r="D29" s="41">
        <f>SUM(Data!J2)</f>
        <v>0</v>
      </c>
    </row>
    <row r="30" spans="1:4">
      <c r="A30" s="1"/>
      <c r="B30" s="12">
        <v>2.5</v>
      </c>
      <c r="C30" s="19" t="s">
        <v>76</v>
      </c>
      <c r="D30" s="41">
        <f>SUM(Data!R2)</f>
        <v>0</v>
      </c>
    </row>
    <row r="31" spans="1:4">
      <c r="A31" s="1"/>
      <c r="B31" s="12">
        <v>2.6</v>
      </c>
      <c r="C31" s="1" t="s">
        <v>77</v>
      </c>
      <c r="D31" s="41">
        <f>SUM(Data!M2)</f>
        <v>0</v>
      </c>
    </row>
    <row r="32" spans="1:4">
      <c r="A32" s="1"/>
      <c r="B32" s="12">
        <v>2.7</v>
      </c>
      <c r="C32" s="14" t="s">
        <v>78</v>
      </c>
      <c r="D32" s="41">
        <f>SUM(Data!P2)</f>
        <v>0</v>
      </c>
    </row>
    <row r="33" spans="1:4">
      <c r="A33" s="1"/>
      <c r="B33" s="12">
        <v>2.8</v>
      </c>
      <c r="C33" s="16" t="s">
        <v>79</v>
      </c>
      <c r="D33" s="42">
        <f>SUM(D26:D32)</f>
        <v>0</v>
      </c>
    </row>
    <row r="34" spans="1:4">
      <c r="A34" s="1"/>
      <c r="B34" s="12">
        <v>2.9</v>
      </c>
      <c r="C34" s="16" t="s">
        <v>80</v>
      </c>
      <c r="D34" s="45">
        <f>SUM(Data!T2)</f>
        <v>0</v>
      </c>
    </row>
    <row r="35" spans="1:4">
      <c r="A35" s="1"/>
      <c r="B35" s="20">
        <v>3</v>
      </c>
      <c r="C35" s="16" t="s">
        <v>81</v>
      </c>
      <c r="D35" s="43">
        <f>D33-D34</f>
        <v>0</v>
      </c>
    </row>
    <row r="36" spans="1:4">
      <c r="A36" s="1"/>
      <c r="B36" s="12"/>
      <c r="C36" s="1"/>
      <c r="D36" s="40"/>
    </row>
    <row r="37" spans="1:4">
      <c r="A37" s="1"/>
      <c r="B37" s="8">
        <v>3</v>
      </c>
      <c r="C37" s="21" t="s">
        <v>82</v>
      </c>
      <c r="D37" s="41">
        <f>SUM(Data!S2)</f>
        <v>0</v>
      </c>
    </row>
    <row r="38" spans="1:4">
      <c r="A38" s="1"/>
      <c r="B38" s="12"/>
      <c r="C38" s="1"/>
      <c r="D38" s="37"/>
    </row>
    <row r="39" spans="1:4">
      <c r="A39" s="1"/>
      <c r="B39" s="8">
        <v>4</v>
      </c>
      <c r="C39" s="21" t="s">
        <v>83</v>
      </c>
      <c r="D39" s="37"/>
    </row>
    <row r="40" spans="1:4">
      <c r="A40" s="1"/>
      <c r="B40" s="12"/>
      <c r="C40" s="1"/>
      <c r="D40" s="40"/>
    </row>
    <row r="41" spans="1:4" ht="18" customHeight="1">
      <c r="A41" s="1"/>
      <c r="B41" s="12">
        <v>4.0999999999999996</v>
      </c>
      <c r="C41" s="22" t="s">
        <v>84</v>
      </c>
      <c r="D41" s="38">
        <f>SUM(Data!T2)</f>
        <v>0</v>
      </c>
    </row>
    <row r="42" spans="1:4">
      <c r="A42" s="1"/>
      <c r="B42" s="12">
        <v>4.2</v>
      </c>
      <c r="C42" s="22" t="s">
        <v>85</v>
      </c>
      <c r="D42" s="38">
        <f>SUM(Data!S2)</f>
        <v>0</v>
      </c>
    </row>
    <row r="43" spans="1:4">
      <c r="A43" s="1"/>
      <c r="B43" s="23">
        <v>4.3</v>
      </c>
      <c r="C43" s="24" t="s">
        <v>86</v>
      </c>
      <c r="D43" s="46">
        <f>SUM(D41:D42)</f>
        <v>0</v>
      </c>
    </row>
    <row r="44" spans="1:4">
      <c r="A44" s="1"/>
      <c r="B44" s="12">
        <v>4.4000000000000004</v>
      </c>
      <c r="C44" s="19" t="s">
        <v>87</v>
      </c>
      <c r="D44" s="38">
        <f>SUM(Data!AA2)</f>
        <v>0</v>
      </c>
    </row>
    <row r="45" spans="1:4">
      <c r="A45" s="1"/>
      <c r="B45" s="12">
        <v>4.5</v>
      </c>
      <c r="C45" s="14" t="s">
        <v>88</v>
      </c>
      <c r="D45" s="53" t="e">
        <f>D22/D43</f>
        <v>#DIV/0!</v>
      </c>
    </row>
    <row r="46" spans="1:4">
      <c r="A46" s="1"/>
      <c r="B46" s="12">
        <v>4.5999999999999996</v>
      </c>
      <c r="C46" s="14" t="s">
        <v>89</v>
      </c>
      <c r="D46" s="47">
        <v>0.08</v>
      </c>
    </row>
    <row r="47" spans="1:4">
      <c r="A47" s="1"/>
      <c r="B47" s="12">
        <v>4.7</v>
      </c>
      <c r="C47" s="25" t="s">
        <v>90</v>
      </c>
      <c r="D47" s="51" t="e">
        <f>D45-D46</f>
        <v>#DIV/0!</v>
      </c>
    </row>
    <row r="48" spans="1:4">
      <c r="A48" s="1"/>
      <c r="B48" s="23">
        <v>4.8</v>
      </c>
      <c r="C48" s="26" t="s">
        <v>91</v>
      </c>
      <c r="D48" s="50" t="e">
        <f>D23/D22</f>
        <v>#DIV/0!</v>
      </c>
    </row>
    <row r="49" spans="1:4">
      <c r="A49" s="1"/>
      <c r="B49" s="23">
        <v>4.9000000000000004</v>
      </c>
      <c r="C49" s="26" t="s">
        <v>92</v>
      </c>
      <c r="D49" s="48">
        <v>0.5</v>
      </c>
    </row>
    <row r="50" spans="1:4">
      <c r="A50" s="1"/>
      <c r="B50" s="27">
        <v>4.0999999999999996</v>
      </c>
      <c r="C50" s="19" t="s">
        <v>93</v>
      </c>
      <c r="D50" s="52" t="e">
        <f>D48-D49</f>
        <v>#DIV/0!</v>
      </c>
    </row>
    <row r="51" spans="1:4">
      <c r="A51" s="1"/>
      <c r="B51" s="12">
        <v>4.1100000000000003</v>
      </c>
      <c r="C51" s="14" t="s">
        <v>94</v>
      </c>
      <c r="D51" s="53" t="e">
        <f>D22/D44</f>
        <v>#DIV/0!</v>
      </c>
    </row>
    <row r="52" spans="1:4">
      <c r="A52" s="1"/>
      <c r="B52" s="27">
        <v>4.12</v>
      </c>
      <c r="C52" s="14" t="s">
        <v>95</v>
      </c>
      <c r="D52" s="49">
        <v>0.05</v>
      </c>
    </row>
    <row r="53" spans="1:4">
      <c r="A53" s="18"/>
      <c r="B53" s="28">
        <v>4.13</v>
      </c>
      <c r="C53" s="25" t="s">
        <v>96</v>
      </c>
      <c r="D53" s="51" t="e">
        <f>D51-D52</f>
        <v>#DIV/0!</v>
      </c>
    </row>
    <row r="54" spans="1:4">
      <c r="A54" s="1"/>
      <c r="B54" s="29"/>
      <c r="C54" s="29"/>
      <c r="D54" s="30"/>
    </row>
    <row r="55" spans="1:4">
      <c r="A55" s="1"/>
      <c r="B55" s="31"/>
      <c r="C55" s="32" t="s">
        <v>97</v>
      </c>
      <c r="D55" s="33"/>
    </row>
    <row r="56" spans="1:4">
      <c r="A56" s="1"/>
      <c r="B56" s="26"/>
      <c r="C56" s="34" t="s">
        <v>98</v>
      </c>
      <c r="D56" s="30"/>
    </row>
    <row r="57" spans="1:4">
      <c r="A57" s="1"/>
      <c r="B57" s="26"/>
      <c r="C57" s="26"/>
      <c r="D57" s="30"/>
    </row>
    <row r="58" spans="1:4">
      <c r="A58" s="1"/>
      <c r="B58" s="26"/>
      <c r="C58" s="34" t="s">
        <v>99</v>
      </c>
      <c r="D58" s="30"/>
    </row>
    <row r="59" spans="1:4">
      <c r="A59" s="1"/>
      <c r="B59" s="26"/>
      <c r="C59" s="30" t="s">
        <v>100</v>
      </c>
      <c r="D59" s="30"/>
    </row>
    <row r="60" spans="1:4">
      <c r="A60" s="1"/>
      <c r="B60" s="26"/>
      <c r="C60" s="30" t="s">
        <v>101</v>
      </c>
      <c r="D60" s="30"/>
    </row>
    <row r="61" spans="1:4">
      <c r="A61" s="1"/>
      <c r="B61" s="26"/>
      <c r="C61" s="34" t="s">
        <v>102</v>
      </c>
      <c r="D61" s="30"/>
    </row>
    <row r="62" spans="1:4">
      <c r="A62" s="1"/>
      <c r="B62" s="26"/>
      <c r="C62" s="30" t="s">
        <v>101</v>
      </c>
      <c r="D62" s="30"/>
    </row>
    <row r="63" spans="1:4">
      <c r="A63" s="1"/>
      <c r="B63" s="26"/>
      <c r="C63" s="34" t="s">
        <v>103</v>
      </c>
      <c r="D63" s="30"/>
    </row>
    <row r="64" spans="1:4">
      <c r="A64" s="1"/>
      <c r="B64" s="26"/>
      <c r="C64" s="26" t="s">
        <v>101</v>
      </c>
      <c r="D64" s="30"/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D6" rgbClr="82C354"/>
    <comment s:ref="D7" rgbClr="82C3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Capital Adequacy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created xsi:type="dcterms:W3CDTF">2022-11-14T13:26:00Z</dcterms:created>
  <dcterms:modified xsi:type="dcterms:W3CDTF">2024-04-15T11:01:38Z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369CC5A9A8C64D278AEEADF9FA519C1B</vt:lpwstr>
  </property>
  <property fmtid="{D5CDD505-2E9C-101B-9397-08002B2CF9AE}" pid="3" name="KSOProductBuildVer">
    <vt:lpwstr>1033-11.2.0.11380</vt:lpwstr>
  </property>
</Properties>
</file>