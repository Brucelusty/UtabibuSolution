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tafiti Sacco\Layouts\"/>
    </mc:Choice>
  </mc:AlternateContent>
  <xr:revisionPtr revIDLastSave="0" documentId="13_ncr:1_{7802C96F-E2C7-4791-BF85-742BD3919F6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positRetun" sheetId="3" r:id="rId1"/>
    <sheet name="Data" sheetId="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3" l="1"/>
  <c r="D12" i="3"/>
  <c r="D10" i="3"/>
  <c r="E20" i="3"/>
  <c r="E18" i="3"/>
  <c r="E16" i="3"/>
  <c r="E14" i="3"/>
  <c r="E12" i="3"/>
  <c r="E10" i="3"/>
  <c r="D20" i="3"/>
  <c r="D18" i="3"/>
  <c r="D16" i="3"/>
</calcChain>
</file>

<file path=xl/sharedStrings.xml><?xml version="1.0" encoding="utf-8"?>
<sst xmlns="http://schemas.openxmlformats.org/spreadsheetml/2006/main" count="48" uniqueCount="44">
  <si>
    <t>ReportForNavId_1</t>
  </si>
  <si>
    <t>CompanyName</t>
  </si>
  <si>
    <t>Count2</t>
  </si>
  <si>
    <t>Balance2</t>
  </si>
  <si>
    <t>Count3</t>
  </si>
  <si>
    <t>Balance3</t>
  </si>
  <si>
    <t>Count4</t>
  </si>
  <si>
    <t>Balance4</t>
  </si>
  <si>
    <t>Count5</t>
  </si>
  <si>
    <t>Balance5</t>
  </si>
  <si>
    <t>GrandTotalCount</t>
  </si>
  <si>
    <t>GrantTotalBalances</t>
  </si>
  <si>
    <t>Count1</t>
  </si>
  <si>
    <t>Balance</t>
  </si>
  <si>
    <t>FinancialYear</t>
  </si>
  <si>
    <t>YearBeginDate</t>
  </si>
  <si>
    <t>AsAt</t>
  </si>
  <si>
    <t xml:space="preserve">FORM 2C </t>
  </si>
  <si>
    <t>STATEMENT OF DEPOSIT RETURN</t>
  </si>
  <si>
    <t xml:space="preserve">NAME OF SACCO SOCIETY </t>
  </si>
  <si>
    <t>SACCO SOCIETY CS NUMBER</t>
  </si>
  <si>
    <t xml:space="preserve">FINANCIAL YEAR </t>
  </si>
  <si>
    <t>START DATE:</t>
  </si>
  <si>
    <t>END DATE:</t>
  </si>
  <si>
    <t>NO.</t>
  </si>
  <si>
    <t>RANGE</t>
  </si>
  <si>
    <t>TYPE OF DEPOSIT</t>
  </si>
  <si>
    <t>No. of A/Cs</t>
  </si>
  <si>
    <t>AMOUNT(KSHS)</t>
  </si>
  <si>
    <t>less than 50,000</t>
  </si>
  <si>
    <t>non withdraw-able</t>
  </si>
  <si>
    <t>50,001 to 100,000</t>
  </si>
  <si>
    <t>100,001 to 300,000</t>
  </si>
  <si>
    <t>300,001 to 1,000,000</t>
  </si>
  <si>
    <t>Over 1,000,000</t>
  </si>
  <si>
    <t>TOTAL</t>
  </si>
  <si>
    <t xml:space="preserve">Note: This return should be received on or before the 15th day of the month following end of every  quarter </t>
  </si>
  <si>
    <t>*include accrued interest and any other form of deposit</t>
  </si>
  <si>
    <t>AUTHORIZATION:</t>
  </si>
  <si>
    <t xml:space="preserve"> We declare that this return, to the best of our knowledge and belief is correct.</t>
  </si>
  <si>
    <t>sign..………………………….. date ………………….</t>
  </si>
  <si>
    <t>Name of Authorizing Officer</t>
  </si>
  <si>
    <t>…………………………………………………..sign……………………………..date……………………..</t>
  </si>
  <si>
    <t>Name of Countersigning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</si>
</sst>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d/mmm/yy"/>
    <numFmt numFmtId="166" formatCode="\£#,##0;&quot;-£&quot;#,##0"/>
    <numFmt numFmtId="167" formatCode="_-* #,##0.00_-;\-* #,##0.00_-;_-* \-??_-;_-@_-"/>
  </numFmts>
  <fonts count="12" x14ac:knownFonts="1">
    <font>
      <sz val="11"/>
      <name val="Calibri"/>
      <family val="2"/>
      <scheme val="minor"/>
    </font>
    <font>
      <sz val="12"/>
      <name val="Cambria"/>
      <family val="1"/>
    </font>
    <font>
      <b/>
      <sz val="12"/>
      <name val="Cambria"/>
      <family val="1"/>
    </font>
    <font>
      <b/>
      <sz val="10"/>
      <name val="Cambria"/>
      <family val="1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</borders>
  <cellStyleXfs count="417">
    <xf numFmtId="0" fontId="0" fillId="0" borderId="0"/>
    <xf numFmtId="0" fontId="4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3" applyNumberFormat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5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6" fontId="4" fillId="0" borderId="0" applyFill="0" applyBorder="0" applyAlignment="0" applyProtection="0"/>
    <xf numFmtId="164" fontId="4" fillId="0" borderId="0" applyFill="0" applyBorder="0" applyAlignment="0" applyProtection="0"/>
    <xf numFmtId="167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7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164" fontId="4" fillId="0" borderId="0" applyFill="0" applyBorder="0" applyAlignment="0" applyProtection="0"/>
    <xf numFmtId="0" fontId="8" fillId="6" borderId="2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7" borderId="4" applyNumberFormat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</cellStyleXfs>
  <cellXfs count="24">
    <xf numFmtId="0" fontId="0" fillId="0" borderId="0" xfId="0"/>
    <xf numFmtId="0" fontId="1" fillId="0" borderId="7" xfId="237" applyFont="1" applyBorder="1" applyProtection="1">
      <protection locked="0"/>
    </xf>
    <xf numFmtId="0" fontId="4" fillId="0" borderId="0" xfId="237"/>
    <xf numFmtId="0" fontId="1" fillId="0" borderId="5" xfId="237" applyFont="1" applyBorder="1"/>
    <xf numFmtId="0" fontId="2" fillId="0" borderId="5" xfId="237" applyFont="1" applyBorder="1"/>
    <xf numFmtId="0" fontId="2" fillId="0" borderId="5" xfId="237" applyFont="1" applyBorder="1" applyAlignment="1">
      <alignment horizontal="center"/>
    </xf>
    <xf numFmtId="0" fontId="2" fillId="0" borderId="5" xfId="237" applyFont="1" applyBorder="1" applyAlignment="1">
      <alignment horizontal="right"/>
    </xf>
    <xf numFmtId="0" fontId="1" fillId="0" borderId="5" xfId="237" applyFont="1" applyBorder="1" applyProtection="1">
      <protection locked="0"/>
    </xf>
    <xf numFmtId="0" fontId="1" fillId="0" borderId="0" xfId="237" applyFont="1" applyProtection="1">
      <protection locked="0"/>
    </xf>
    <xf numFmtId="0" fontId="2" fillId="0" borderId="5" xfId="237" applyFont="1" applyBorder="1" applyAlignment="1" applyProtection="1">
      <alignment horizontal="right"/>
      <protection locked="0"/>
    </xf>
    <xf numFmtId="49" fontId="2" fillId="0" borderId="5" xfId="237" applyNumberFormat="1" applyFont="1" applyBorder="1" applyAlignment="1" applyProtection="1">
      <alignment horizontal="right"/>
      <protection locked="0"/>
    </xf>
    <xf numFmtId="0" fontId="2" fillId="0" borderId="5" xfId="237" applyFont="1" applyBorder="1" applyAlignment="1">
      <alignment horizontal="left"/>
    </xf>
    <xf numFmtId="0" fontId="2" fillId="0" borderId="5" xfId="237" applyFont="1" applyBorder="1" applyProtection="1">
      <protection locked="0"/>
    </xf>
    <xf numFmtId="0" fontId="1" fillId="0" borderId="7" xfId="237" applyFont="1" applyBorder="1"/>
    <xf numFmtId="0" fontId="1" fillId="0" borderId="1" xfId="237" applyFont="1" applyBorder="1"/>
    <xf numFmtId="0" fontId="2" fillId="0" borderId="1" xfId="237" applyFont="1" applyBorder="1"/>
    <xf numFmtId="0" fontId="1" fillId="0" borderId="1" xfId="237" applyFont="1" applyBorder="1" applyProtection="1">
      <protection locked="0"/>
    </xf>
    <xf numFmtId="0" fontId="2" fillId="0" borderId="1" xfId="237" applyFont="1" applyBorder="1" applyProtection="1">
      <protection locked="0"/>
    </xf>
    <xf numFmtId="0" fontId="3" fillId="0" borderId="8" xfId="237" applyFont="1" applyBorder="1" applyProtection="1">
      <protection locked="0"/>
    </xf>
    <xf numFmtId="2" fontId="0" fillId="0" borderId="0" xfId="0" applyNumberFormat="1"/>
    <xf numFmtId="2" fontId="1" fillId="0" borderId="5" xfId="237" applyNumberFormat="1" applyFont="1" applyBorder="1" applyProtection="1">
      <protection locked="0"/>
    </xf>
    <xf numFmtId="2" fontId="1" fillId="0" borderId="7" xfId="237" applyNumberFormat="1" applyFont="1" applyBorder="1" applyProtection="1">
      <protection locked="0"/>
    </xf>
    <xf numFmtId="0" fontId="0" fillId="0" borderId="0" xfId="0" applyNumberFormat="1"/>
    <xf numFmtId="0" fontId="1" fillId="0" borderId="5" xfId="237" applyNumberFormat="1" applyFont="1" applyBorder="1" applyProtection="1">
      <protection locked="0"/>
    </xf>
  </cellXfs>
  <cellStyles count="417">
    <cellStyle name="60% - Accent2 2" xfId="2" xr:uid="{EE8CFCBB-C124-4B94-9ECE-24FA3405689E}"/>
    <cellStyle name="Accent1 2" xfId="3" xr:uid="{B6A027D1-2DCB-416D-A8A3-8D500110750C}"/>
    <cellStyle name="Accent1 2 10" xfId="4" xr:uid="{CEF0C0B0-CDC0-419A-8628-B4A1726D121C}"/>
    <cellStyle name="Accent1 2 11" xfId="5" xr:uid="{E9D3919E-5A59-4F5C-B344-297912425F56}"/>
    <cellStyle name="Accent1 2 12" xfId="6" xr:uid="{F2CC8E2A-2412-41CF-A2DF-EE758CCC666F}"/>
    <cellStyle name="Accent1 2 2" xfId="7" xr:uid="{836C189F-CF09-4ECB-8959-B080FF5D1784}"/>
    <cellStyle name="Accent1 2 3" xfId="8" xr:uid="{78E1E733-8F11-41F5-8DD7-239E554A8E94}"/>
    <cellStyle name="Accent1 2 4" xfId="9" xr:uid="{C8AE3D9D-CC45-4E9F-9B76-77C0074CF204}"/>
    <cellStyle name="Accent1 2 5" xfId="10" xr:uid="{1980F00E-98FD-44B2-BCED-053863B533CD}"/>
    <cellStyle name="Accent1 2 6" xfId="11" xr:uid="{2F1447A9-CD3F-47D1-B6F2-FA314940EDE5}"/>
    <cellStyle name="Accent1 2 7" xfId="12" xr:uid="{25541B9B-20B4-4FF2-8BB0-8EB07F64C0AC}"/>
    <cellStyle name="Accent1 2 8" xfId="13" xr:uid="{E293E8E8-6E57-420E-8003-5BA3B6E57482}"/>
    <cellStyle name="Accent1 2 9" xfId="14" xr:uid="{E61F5C13-5D8B-4FE8-86D8-049AC99B4BC5}"/>
    <cellStyle name="Accent5 2" xfId="15" xr:uid="{4181D934-B057-4FF5-8C92-D36C6541F21B}"/>
    <cellStyle name="Accent5 2 10" xfId="16" xr:uid="{56DF15F8-40B0-4252-BD2C-111F87EBF7DB}"/>
    <cellStyle name="Accent5 2 11" xfId="17" xr:uid="{D23B4EB9-A2E6-4507-BF00-090886F2A6D7}"/>
    <cellStyle name="Accent5 2 12" xfId="18" xr:uid="{3DD9EFE0-CCB5-4DDB-9ED3-13CD8D366D83}"/>
    <cellStyle name="Accent5 2 2" xfId="19" xr:uid="{9BFBB90A-3F1E-4EDD-B2C8-41E1B0B20931}"/>
    <cellStyle name="Accent5 2 3" xfId="20" xr:uid="{A364034B-E6FA-46BD-BCBA-38D39AA301CD}"/>
    <cellStyle name="Accent5 2 4" xfId="21" xr:uid="{A425B2E2-9720-4E2A-A7CF-E0FD21E67B34}"/>
    <cellStyle name="Accent5 2 5" xfId="22" xr:uid="{F9065D75-780E-4EB2-BF16-217D9BD2249D}"/>
    <cellStyle name="Accent5 2 6" xfId="23" xr:uid="{9842DC3B-C441-40B1-9DFB-940F02166C52}"/>
    <cellStyle name="Accent5 2 7" xfId="24" xr:uid="{F385E8C6-B4A6-4824-9EAB-420586F9A6AB}"/>
    <cellStyle name="Accent5 2 8" xfId="25" xr:uid="{84A99B3E-D507-4E65-8BAA-69B850E38656}"/>
    <cellStyle name="Accent5 2 9" xfId="26" xr:uid="{7D0876F5-BCAF-4434-A90D-F2645F4E5EA2}"/>
    <cellStyle name="Check Cell 2" xfId="27" xr:uid="{1E198CE9-2BDE-4D8C-9A8F-44EAF5F066A6}"/>
    <cellStyle name="Comma 10" xfId="28" xr:uid="{923F4BFC-BEEC-430D-B02D-53BD984102C3}"/>
    <cellStyle name="Comma 10 10" xfId="29" xr:uid="{36AF8447-304F-4239-8865-EF0CDC0AD848}"/>
    <cellStyle name="Comma 10 11" xfId="30" xr:uid="{31CA6D93-EB41-4A18-BA83-6972003E075C}"/>
    <cellStyle name="Comma 10 12" xfId="31" xr:uid="{0201A288-AB57-422A-922E-A304906809B0}"/>
    <cellStyle name="Comma 10 13" xfId="32" xr:uid="{07A6F9D8-7DE0-4D58-B965-9755F66B1D7F}"/>
    <cellStyle name="Comma 10 14" xfId="33" xr:uid="{3B6447D9-F3B8-4E55-80F6-FC2CAF863D52}"/>
    <cellStyle name="Comma 10 15" xfId="34" xr:uid="{9DBFCC89-1B31-46E5-A2CE-EC036614B1E0}"/>
    <cellStyle name="Comma 10 16" xfId="35" xr:uid="{007FDAD5-83A3-48B5-9627-EFA17D280296}"/>
    <cellStyle name="Comma 10 2" xfId="36" xr:uid="{631A21C1-6013-4998-88C2-0FFE48A4DC1B}"/>
    <cellStyle name="Comma 10 3" xfId="37" xr:uid="{AA8324B6-D28D-42C3-88E7-DEFBE26B7E16}"/>
    <cellStyle name="Comma 10 4" xfId="38" xr:uid="{CBAC7607-C35F-46B1-B325-6970A3BFDF5B}"/>
    <cellStyle name="Comma 10 5" xfId="39" xr:uid="{EAE6CCB9-5F46-422B-9450-0B2918D60657}"/>
    <cellStyle name="Comma 10 6" xfId="40" xr:uid="{C56DF3BC-AD4A-47EC-86BB-37FB3F5F6AAC}"/>
    <cellStyle name="Comma 10 7" xfId="41" xr:uid="{7AA64B8D-DA95-4405-B2E9-60EC2725421E}"/>
    <cellStyle name="Comma 10 8" xfId="42" xr:uid="{D3D38AD6-C3C2-43B7-890D-FAD2514CCACD}"/>
    <cellStyle name="Comma 10 9" xfId="43" xr:uid="{C8DE4E5F-8226-4577-BC78-FF8C87207AA7}"/>
    <cellStyle name="Comma 11" xfId="44" xr:uid="{9F7EE514-427B-4FAE-9A11-790EA282A8E7}"/>
    <cellStyle name="Comma 11 10" xfId="45" xr:uid="{3DCE850C-12BB-4A74-A2A4-5E6EBED0D931}"/>
    <cellStyle name="Comma 11 11" xfId="46" xr:uid="{4B1BC67F-AD9C-43CE-96ED-E231E41FC686}"/>
    <cellStyle name="Comma 11 12" xfId="47" xr:uid="{FD975C11-D559-4B34-9318-69BF7D92498E}"/>
    <cellStyle name="Comma 11 13" xfId="48" xr:uid="{6F05FBA6-343B-4A27-8826-813E13989944}"/>
    <cellStyle name="Comma 11 14" xfId="49" xr:uid="{58BD71B5-6522-4120-B20F-F6EF93E534D8}"/>
    <cellStyle name="Comma 11 15" xfId="50" xr:uid="{93FFFE1D-274D-4CC8-A7D1-AB9F5BFF228E}"/>
    <cellStyle name="Comma 11 16" xfId="51" xr:uid="{0BBA07B2-47E7-4DF5-B059-5E6C3913B126}"/>
    <cellStyle name="Comma 11 17" xfId="52" xr:uid="{53A3EACB-968E-4D8D-8962-DF7F9E7580DA}"/>
    <cellStyle name="Comma 11 2" xfId="53" xr:uid="{2B5B41ED-6295-4E59-9B40-CC943CC2BC2B}"/>
    <cellStyle name="Comma 11 2 2" xfId="54" xr:uid="{ADEB9423-62FD-4B2C-907A-7E950721ADCD}"/>
    <cellStyle name="Comma 11 3" xfId="55" xr:uid="{ABD6E17E-AF8A-4D5E-BDC5-C559FA370C10}"/>
    <cellStyle name="Comma 11 4" xfId="56" xr:uid="{4FFA29C5-9531-4607-86F3-5E551AC224BD}"/>
    <cellStyle name="Comma 11 5" xfId="57" xr:uid="{498A06D8-4B69-45EE-820A-65F7CDB33B64}"/>
    <cellStyle name="Comma 11 6" xfId="58" xr:uid="{32E3815B-5A37-4644-8228-1DA9002991C6}"/>
    <cellStyle name="Comma 11 7" xfId="59" xr:uid="{70CC00A9-6B38-41D3-B806-571728A2CE70}"/>
    <cellStyle name="Comma 11 8" xfId="60" xr:uid="{DFD712F7-EE32-4D0F-9F82-3E8F306D6876}"/>
    <cellStyle name="Comma 11 9" xfId="61" xr:uid="{654B33C9-A48A-44FD-9CFF-17BCE683BC1E}"/>
    <cellStyle name="Comma 12" xfId="62" xr:uid="{8554B382-DDF9-411D-BB7C-F97A1952D92C}"/>
    <cellStyle name="Comma 13" xfId="63" xr:uid="{F063206B-DE84-48EB-8C59-4C69FB247EF6}"/>
    <cellStyle name="Comma 14" xfId="64" xr:uid="{BCFC5F41-8F85-475C-A1F9-D05C9BE8B76D}"/>
    <cellStyle name="Comma 15" xfId="65" xr:uid="{DFE37447-7556-4D87-B53C-D3A411E8C829}"/>
    <cellStyle name="Comma 16" xfId="66" xr:uid="{5320626A-1891-4B60-A0F9-971CFB0C6C1A}"/>
    <cellStyle name="Comma 16 10" xfId="67" xr:uid="{5C1E47D4-AD96-4690-98BD-7CB082B68101}"/>
    <cellStyle name="Comma 16 11" xfId="68" xr:uid="{E4520DD1-DD05-4E74-8CC0-5E11E19F2B78}"/>
    <cellStyle name="Comma 16 12" xfId="69" xr:uid="{71D44DF0-6717-4A9A-AB72-C11C41CB1A0C}"/>
    <cellStyle name="Comma 16 13" xfId="70" xr:uid="{D53365EA-9227-479F-8E1E-77E8C40B1047}"/>
    <cellStyle name="Comma 16 14" xfId="71" xr:uid="{1CE6988C-742E-4C24-8872-2398EBAD71A2}"/>
    <cellStyle name="Comma 16 15" xfId="72" xr:uid="{2670228C-877F-4422-86E9-72C88807C57A}"/>
    <cellStyle name="Comma 16 16" xfId="73" xr:uid="{7A089D61-7E1B-43C6-B465-3F884F2FF1EC}"/>
    <cellStyle name="Comma 16 2" xfId="74" xr:uid="{88F8AF64-B421-46E4-8879-5A85A2E86465}"/>
    <cellStyle name="Comma 16 3" xfId="75" xr:uid="{A5A0CF1D-F7DB-4FA1-87C6-D80D0E5E8C19}"/>
    <cellStyle name="Comma 16 4" xfId="76" xr:uid="{4ECE96D5-CFD4-425B-975D-52A96A086FA4}"/>
    <cellStyle name="Comma 16 5" xfId="77" xr:uid="{AE6534A6-BD1A-4CD4-80F4-50D61A88DA39}"/>
    <cellStyle name="Comma 16 6" xfId="78" xr:uid="{7F872CC5-22EC-4CEE-90B5-81BC724AFFCA}"/>
    <cellStyle name="Comma 16 7" xfId="79" xr:uid="{AA575CCB-A518-42B3-B8E3-F40937C1B403}"/>
    <cellStyle name="Comma 16 8" xfId="80" xr:uid="{CF114A0E-DC4D-41BC-8D26-3C05145C1B7C}"/>
    <cellStyle name="Comma 16 9" xfId="81" xr:uid="{4305B164-DF78-4F1E-8BB4-77728A8657A7}"/>
    <cellStyle name="Comma 17" xfId="82" xr:uid="{7B82140E-29F4-41DF-922B-6F6E34672B86}"/>
    <cellStyle name="Comma 17 10" xfId="83" xr:uid="{3965CFAE-C2D0-416A-B2FB-587FBD86ECC4}"/>
    <cellStyle name="Comma 17 2" xfId="84" xr:uid="{C75B2F1E-6B92-479B-B332-BECB908B4485}"/>
    <cellStyle name="Comma 17 3" xfId="85" xr:uid="{E775CC39-A9B2-4C44-8983-DA9A1331E485}"/>
    <cellStyle name="Comma 17 4" xfId="86" xr:uid="{02B99642-5358-4D6B-AA9D-A8EA2FF0501D}"/>
    <cellStyle name="Comma 17 5" xfId="87" xr:uid="{AAB236AF-7BFB-4CE8-ACB6-3AEAECA6397E}"/>
    <cellStyle name="Comma 17 6" xfId="88" xr:uid="{ADBA82E9-64C8-4CD0-A12C-B95682E2424D}"/>
    <cellStyle name="Comma 17 7" xfId="89" xr:uid="{8200F2D5-A602-46A1-BAC4-0134FE41411B}"/>
    <cellStyle name="Comma 17 8" xfId="90" xr:uid="{F6B6D299-3F18-4F00-833B-FB45DF5A1F48}"/>
    <cellStyle name="Comma 17 9" xfId="91" xr:uid="{A23AB5F1-5130-44D3-B644-29A2D5EA57C0}"/>
    <cellStyle name="Comma 2" xfId="92" xr:uid="{E60D8AC3-0F9C-4418-A410-0C7620A31A1C}"/>
    <cellStyle name="Comma 2 10" xfId="93" xr:uid="{E0813BAA-B560-468A-B982-0898A9110574}"/>
    <cellStyle name="Comma 2 11" xfId="94" xr:uid="{97D0C6BA-F98B-4C40-BD61-D176C23C9B6E}"/>
    <cellStyle name="Comma 2 12" xfId="95" xr:uid="{A7CD3F86-91DF-4A02-B9F0-CEA5F72F5C44}"/>
    <cellStyle name="Comma 2 13" xfId="96" xr:uid="{9E8F4B0F-FD7E-447B-A0DB-A72A53F46E0B}"/>
    <cellStyle name="Comma 2 14" xfId="97" xr:uid="{C9937926-1B46-45EB-99FA-B8C6FC025022}"/>
    <cellStyle name="Comma 2 15" xfId="98" xr:uid="{C6EC9576-722F-4FAE-971D-552CC3AC4C0D}"/>
    <cellStyle name="Comma 2 16" xfId="99" xr:uid="{F2420A34-3134-4C65-8BBA-9BB47ED1FF65}"/>
    <cellStyle name="Comma 2 17" xfId="100" xr:uid="{00D53619-A099-45E1-8AE1-266ADAA01881}"/>
    <cellStyle name="Comma 2 18" xfId="101" xr:uid="{0F2542FC-F098-4282-B823-66BF04A9B8AB}"/>
    <cellStyle name="Comma 2 19" xfId="102" xr:uid="{799AC407-68A5-48D2-A0D5-2F2603F8C897}"/>
    <cellStyle name="Comma 2 2" xfId="103" xr:uid="{8AC6D99E-6C7A-42EA-8588-69B812DD90A5}"/>
    <cellStyle name="Comma 2 20" xfId="104" xr:uid="{27BADE9C-5DE6-4036-9762-6DD82506ABDD}"/>
    <cellStyle name="Comma 2 21" xfId="105" xr:uid="{40515F2A-E86D-4A9D-9059-A9D7D5F78B47}"/>
    <cellStyle name="Comma 2 22" xfId="106" xr:uid="{82E117A7-421D-41F6-A62D-33C095C8AE15}"/>
    <cellStyle name="Comma 2 23" xfId="107" xr:uid="{552AAAE1-E68D-47CE-B3C8-CE8A9619C53A}"/>
    <cellStyle name="Comma 2 24" xfId="108" xr:uid="{0420EB1C-0BE0-4F4B-917E-BA7FD022D52B}"/>
    <cellStyle name="Comma 2 25" xfId="109" xr:uid="{89DD6B81-FF78-4E48-A459-302E4BF26B39}"/>
    <cellStyle name="Comma 2 26" xfId="110" xr:uid="{3ADEC611-C878-4D66-AFAF-C78B5B928334}"/>
    <cellStyle name="Comma 2 3" xfId="111" xr:uid="{CB3897CC-8024-44E8-B542-959C34122721}"/>
    <cellStyle name="Comma 2 4" xfId="112" xr:uid="{08B9678F-50B5-459A-9217-4A31E51DCE0F}"/>
    <cellStyle name="Comma 2 5" xfId="113" xr:uid="{24596FEA-E607-41D5-ADD7-8B352D35C967}"/>
    <cellStyle name="Comma 2 6" xfId="114" xr:uid="{9CB14F21-F95F-49BE-9BDC-3FA8D85DC8BD}"/>
    <cellStyle name="Comma 2 7" xfId="115" xr:uid="{5778D668-74CA-412D-83E0-CC6A93596AC1}"/>
    <cellStyle name="Comma 2 8" xfId="116" xr:uid="{5BDEC069-6F37-4492-97C5-8F4F207787AF}"/>
    <cellStyle name="Comma 2 9" xfId="117" xr:uid="{6160B438-D02A-490C-8C1B-8304344A68D2}"/>
    <cellStyle name="Comma 24" xfId="118" xr:uid="{674A3437-AF9A-44E5-A1CF-68B95F7F2BA7}"/>
    <cellStyle name="Comma 3" xfId="119" xr:uid="{66B3A88E-1999-48A3-9CED-115AEBD3E6B3}"/>
    <cellStyle name="Comma 3 10" xfId="120" xr:uid="{7DF90D9E-1EA6-4C79-BE72-DA3DC5B533FD}"/>
    <cellStyle name="Comma 3 11" xfId="121" xr:uid="{AAB69694-2C08-4EB4-82B4-CDD863B117FC}"/>
    <cellStyle name="Comma 3 12" xfId="122" xr:uid="{D007DD58-08AA-4537-8A1A-213147F969C0}"/>
    <cellStyle name="Comma 3 13" xfId="123" xr:uid="{BD66BB77-0E27-4F9D-AA60-FE45EC47ACE4}"/>
    <cellStyle name="Comma 3 14" xfId="124" xr:uid="{1C14F871-2671-48DB-AA18-E5055BCFF350}"/>
    <cellStyle name="Comma 3 15" xfId="125" xr:uid="{06D7E3C7-3E58-4FB4-9EF4-C9D6B32A8814}"/>
    <cellStyle name="Comma 3 16" xfId="126" xr:uid="{DB7FA2CB-2AB8-4153-B9BF-39E2C6F7D31B}"/>
    <cellStyle name="Comma 3 17" xfId="127" xr:uid="{C801596E-D74C-48AB-83C6-C5B9979CF2D8}"/>
    <cellStyle name="Comma 3 18" xfId="128" xr:uid="{98DE47CF-AB58-4C11-B958-0349E80B31F7}"/>
    <cellStyle name="Comma 3 19" xfId="129" xr:uid="{5DAAE6BC-55E8-439E-BB92-EBBEBA9FF912}"/>
    <cellStyle name="Comma 3 2" xfId="130" xr:uid="{4A191CE6-1183-4A40-908A-D60A1FB14CAC}"/>
    <cellStyle name="Comma 3 20" xfId="131" xr:uid="{CC060FA8-9018-40DA-A111-456E829B85B4}"/>
    <cellStyle name="Comma 3 3" xfId="132" xr:uid="{7459D2DE-B0CC-4221-8FF4-982E0121A0CD}"/>
    <cellStyle name="Comma 3 4" xfId="133" xr:uid="{04E728E9-DF51-4126-AA9D-3655E221F76A}"/>
    <cellStyle name="Comma 3 5" xfId="134" xr:uid="{C60E4EC1-16EC-4D31-9C09-C424208A788B}"/>
    <cellStyle name="Comma 3 6" xfId="135" xr:uid="{4B4DB491-8FD6-4947-9414-696559D539FE}"/>
    <cellStyle name="Comma 3 7" xfId="136" xr:uid="{A4856782-9117-4106-8F14-148D35E3C8F9}"/>
    <cellStyle name="Comma 3 8" xfId="137" xr:uid="{93923669-5F0E-4786-B69E-1B498F23F6DC}"/>
    <cellStyle name="Comma 3 9" xfId="138" xr:uid="{1F0DEEFE-06C3-41AD-928D-FF9BD72B471A}"/>
    <cellStyle name="Comma 4" xfId="139" xr:uid="{8FAC1747-28AD-431D-8D07-15713BA4DC94}"/>
    <cellStyle name="Comma 5" xfId="140" xr:uid="{7FDE3621-1785-45A7-863B-73FFDB6DEB89}"/>
    <cellStyle name="Comma 5 10" xfId="141" xr:uid="{FCFA6141-AF9C-40A4-8E47-868556AEDF09}"/>
    <cellStyle name="Comma 5 11" xfId="142" xr:uid="{979424A4-158F-49BA-AB07-66F71F13D592}"/>
    <cellStyle name="Comma 5 12" xfId="143" xr:uid="{EDEE7D60-3178-47A7-B489-76BC953E3F57}"/>
    <cellStyle name="Comma 5 13" xfId="144" xr:uid="{37E8C3BB-C018-42D1-B3B6-42824EBDB15E}"/>
    <cellStyle name="Comma 5 14" xfId="145" xr:uid="{1B48002F-B917-4D02-B02A-F8CE2869DC31}"/>
    <cellStyle name="Comma 5 15" xfId="146" xr:uid="{A91C90A4-8A5C-47AA-A9E1-425DA4067637}"/>
    <cellStyle name="Comma 5 16" xfId="147" xr:uid="{AB1E0638-BE24-4246-BEEA-92E05A951632}"/>
    <cellStyle name="Comma 5 17" xfId="148" xr:uid="{E8505924-A701-444C-AAB2-D931638C2F23}"/>
    <cellStyle name="Comma 5 18" xfId="149" xr:uid="{53139B21-90BF-477B-9E4D-B9BA9AD64ED7}"/>
    <cellStyle name="Comma 5 19" xfId="150" xr:uid="{DDFE6239-A650-4E3C-98EC-B7C564DB8686}"/>
    <cellStyle name="Comma 5 2" xfId="151" xr:uid="{2EFCC9C6-D760-459F-B5E1-C7CCF636F90B}"/>
    <cellStyle name="Comma 5 20" xfId="152" xr:uid="{62E99448-5B7C-4E6A-9577-C7B39E8D6F48}"/>
    <cellStyle name="Comma 5 3" xfId="153" xr:uid="{1EBF107D-23D7-4582-B733-A9FDACD31467}"/>
    <cellStyle name="Comma 5 4" xfId="154" xr:uid="{AF82E0D5-54EE-429B-9332-8871A3D3BA49}"/>
    <cellStyle name="Comma 5 5" xfId="155" xr:uid="{BCC7BA94-211D-4B2C-80F2-F325EF403F0B}"/>
    <cellStyle name="Comma 5 6" xfId="156" xr:uid="{9BCE7E71-6005-4DB7-B9B5-45712D94A287}"/>
    <cellStyle name="Comma 5 7" xfId="157" xr:uid="{8C091BEB-B45E-43D7-8DFA-71D6F8F4D1F3}"/>
    <cellStyle name="Comma 5 8" xfId="158" xr:uid="{03DC4189-8B23-41FB-B9E0-6B58F60E783C}"/>
    <cellStyle name="Comma 5 9" xfId="159" xr:uid="{A22C524D-5CC5-4242-A42C-1E3E8179EC42}"/>
    <cellStyle name="Comma 6" xfId="160" xr:uid="{652700C3-7C74-490D-BD7B-5254D3E71308}"/>
    <cellStyle name="Comma 6 10" xfId="161" xr:uid="{FABD0945-7C33-4F9B-BAA7-87974C495D7A}"/>
    <cellStyle name="Comma 6 11" xfId="162" xr:uid="{EDF8520F-3DDE-45E9-8FC1-3112E1A4D015}"/>
    <cellStyle name="Comma 6 12" xfId="163" xr:uid="{703B339B-02A5-4FF0-9969-372548C42F97}"/>
    <cellStyle name="Comma 6 13" xfId="164" xr:uid="{6587D1BD-CA88-460A-8945-03932AD90F8B}"/>
    <cellStyle name="Comma 6 14" xfId="165" xr:uid="{D09E2CFF-A2E6-433A-9E9B-6E5BDDCE9E5F}"/>
    <cellStyle name="Comma 6 15" xfId="166" xr:uid="{22B6F53E-3A44-474F-80BD-527DA857F146}"/>
    <cellStyle name="Comma 6 16" xfId="167" xr:uid="{27AD645A-65FC-415C-B5E7-54EE7496557F}"/>
    <cellStyle name="Comma 6 17" xfId="168" xr:uid="{7323612B-BD06-4049-8EC9-25F2AA70CCFC}"/>
    <cellStyle name="Comma 6 18" xfId="169" xr:uid="{98A39124-2768-4E49-AE84-A90259F7A113}"/>
    <cellStyle name="Comma 6 19" xfId="170" xr:uid="{0ABB16E8-21C4-490E-98E7-AE9A89C45048}"/>
    <cellStyle name="Comma 6 2" xfId="171" xr:uid="{A430BA75-3D95-4882-828E-229442A36617}"/>
    <cellStyle name="Comma 6 3" xfId="172" xr:uid="{EF6DC315-DC08-46D4-9A81-3C5D94B17953}"/>
    <cellStyle name="Comma 6 4" xfId="173" xr:uid="{E79D2A7E-AADF-4B9F-9540-16BC5696C810}"/>
    <cellStyle name="Comma 6 5" xfId="174" xr:uid="{4F71F4F0-D4EF-4347-8A33-89DBC7BD4D4D}"/>
    <cellStyle name="Comma 6 6" xfId="175" xr:uid="{8C935D87-FE6D-40DA-8FE9-1BCA970EDEC3}"/>
    <cellStyle name="Comma 6 7" xfId="176" xr:uid="{872524D2-3EE8-47A9-99D3-32CCA882F7BF}"/>
    <cellStyle name="Comma 6 8" xfId="177" xr:uid="{F88A8EEA-3FCD-4715-9E34-B198B0382D4A}"/>
    <cellStyle name="Comma 6 9" xfId="178" xr:uid="{16B342DE-007E-48BB-9BC7-AE67D6342744}"/>
    <cellStyle name="Comma 7" xfId="179" xr:uid="{9F494DA1-65A7-4A05-9667-C20311C4519A}"/>
    <cellStyle name="Comma 7 10" xfId="180" xr:uid="{F972EBA5-1513-475E-8BEB-06DFAC2E959A}"/>
    <cellStyle name="Comma 7 11" xfId="181" xr:uid="{D087C337-369F-49AA-A913-B848ACE7FAE7}"/>
    <cellStyle name="Comma 7 12" xfId="182" xr:uid="{8E6EF197-CECA-4620-A380-990979C900FA}"/>
    <cellStyle name="Comma 7 13" xfId="183" xr:uid="{94C266DF-7EB2-4649-B8E9-6DA8D8469772}"/>
    <cellStyle name="Comma 7 14" xfId="184" xr:uid="{B66FB921-538B-43A1-B987-1BE742781A1F}"/>
    <cellStyle name="Comma 7 15" xfId="185" xr:uid="{9AC0969C-7FE6-4B47-A28C-FB535FFBAC33}"/>
    <cellStyle name="Comma 7 16" xfId="186" xr:uid="{24E0F5B4-6288-4BBE-A8E8-6A661B450582}"/>
    <cellStyle name="Comma 7 17" xfId="187" xr:uid="{E4D0B5DA-1CA5-470E-AC0C-F13D3040A1D9}"/>
    <cellStyle name="Comma 7 18" xfId="188" xr:uid="{95BAB9EF-FE66-4FF7-A46E-A633826055B9}"/>
    <cellStyle name="Comma 7 19" xfId="189" xr:uid="{C4AF0A4A-9877-4E99-A2C6-D66EE1AB6A49}"/>
    <cellStyle name="Comma 7 2" xfId="190" xr:uid="{0425DC9F-9B26-4541-95E0-0DC7E88ECBE6}"/>
    <cellStyle name="Comma 7 3" xfId="191" xr:uid="{B8334A95-67B4-4C13-8774-98EC62C4386A}"/>
    <cellStyle name="Comma 7 4" xfId="192" xr:uid="{B30FEAB6-E0F3-4D7F-B3A7-1A11CE859779}"/>
    <cellStyle name="Comma 7 5" xfId="193" xr:uid="{E7EC775D-5BFF-4BF8-9B82-D6289EF7E255}"/>
    <cellStyle name="Comma 7 6" xfId="194" xr:uid="{EE8711D9-0FF2-4CEF-BD39-A5BCF56B44E0}"/>
    <cellStyle name="Comma 7 7" xfId="195" xr:uid="{ABA4FCCA-5E19-4FC2-BBA0-ED60F20EB885}"/>
    <cellStyle name="Comma 7 8" xfId="196" xr:uid="{A8E23E76-2B68-4B83-B61C-109B076AE02D}"/>
    <cellStyle name="Comma 7 9" xfId="197" xr:uid="{92FBD51B-2E96-4190-8A50-578E6778DE56}"/>
    <cellStyle name="Comma 8" xfId="198" xr:uid="{6BF8B6AD-90E6-4761-BD6E-5A3048A15514}"/>
    <cellStyle name="Comma 8 10" xfId="199" xr:uid="{039E9727-627D-4FA7-9B08-889D7DBDCA94}"/>
    <cellStyle name="Comma 8 11" xfId="200" xr:uid="{94A07851-ADF6-48FE-BE74-D5F5695E49B9}"/>
    <cellStyle name="Comma 8 12" xfId="201" xr:uid="{CB740D8C-3265-463A-91D6-D4F7C8AA1438}"/>
    <cellStyle name="Comma 8 13" xfId="202" xr:uid="{EF40C0C4-4398-4E68-BA50-A0E2CAD59023}"/>
    <cellStyle name="Comma 8 14" xfId="203" xr:uid="{9B569F6D-A4A6-4B1C-94B5-07A5B24774B6}"/>
    <cellStyle name="Comma 8 15" xfId="204" xr:uid="{AE88E3A9-A9A7-4FF8-9EE2-82AD18D51927}"/>
    <cellStyle name="Comma 8 16" xfId="205" xr:uid="{4821B7DC-B9BB-441E-BABB-144D5DE42194}"/>
    <cellStyle name="Comma 8 17" xfId="206" xr:uid="{FE85F280-E84B-4D58-95B7-8AFCBDBFE46A}"/>
    <cellStyle name="Comma 8 18" xfId="207" xr:uid="{49C54C77-B5B5-4F0C-A661-BE6FACE2652E}"/>
    <cellStyle name="Comma 8 19" xfId="208" xr:uid="{15DA741E-4DA3-4317-80A4-2E424308B691}"/>
    <cellStyle name="Comma 8 2" xfId="209" xr:uid="{8279D54B-7E80-4EC8-83CF-8D9D320CEDFC}"/>
    <cellStyle name="Comma 8 3" xfId="210" xr:uid="{B0055F50-5447-4955-A60E-827F6436B5CD}"/>
    <cellStyle name="Comma 8 4" xfId="211" xr:uid="{23A0AD40-D6F9-49BD-9EB8-65F2B1DB498D}"/>
    <cellStyle name="Comma 8 5" xfId="212" xr:uid="{936FFD6F-0139-4B3E-85D3-0AD911A5138A}"/>
    <cellStyle name="Comma 8 6" xfId="213" xr:uid="{4A7246C6-8AE8-48EA-8282-A68C626B5ADC}"/>
    <cellStyle name="Comma 8 7" xfId="214" xr:uid="{FE6C72DC-8B41-4E04-B236-2CBE43DDBCE5}"/>
    <cellStyle name="Comma 8 8" xfId="215" xr:uid="{0829A844-8B06-495A-B6E0-87CCA16977F1}"/>
    <cellStyle name="Comma 8 9" xfId="216" xr:uid="{BBA9A572-3CFD-43B6-840B-32BA37AD72F0}"/>
    <cellStyle name="Comma 9" xfId="217" xr:uid="{B80AE09A-E773-4235-A3D2-177AC0ED8D28}"/>
    <cellStyle name="Comma 9 10" xfId="218" xr:uid="{8C3D24C1-DEAB-4C55-8358-412FFCEC0C54}"/>
    <cellStyle name="Comma 9 11" xfId="219" xr:uid="{3D485B14-E849-4732-A41B-0BC47E681DE6}"/>
    <cellStyle name="Comma 9 12" xfId="220" xr:uid="{CEC0DFDA-A8F3-4629-9534-5A356EDE9E56}"/>
    <cellStyle name="Comma 9 13" xfId="221" xr:uid="{3BCF098D-2612-47E2-8331-020CC8E6BA59}"/>
    <cellStyle name="Comma 9 14" xfId="222" xr:uid="{12A58F94-F802-4120-BA8A-FA76171D2ECE}"/>
    <cellStyle name="Comma 9 15" xfId="223" xr:uid="{DACD3EF8-0EF9-4505-8229-12FA1467CB32}"/>
    <cellStyle name="Comma 9 16" xfId="224" xr:uid="{03ACED98-1121-48DB-94D6-12DA32537142}"/>
    <cellStyle name="Comma 9 17" xfId="225" xr:uid="{DA20A763-ECC4-420F-8C22-A29D987E2287}"/>
    <cellStyle name="Comma 9 18" xfId="226" xr:uid="{1280C92B-6BC6-45D8-8525-72FD7615C92D}"/>
    <cellStyle name="Comma 9 19" xfId="227" xr:uid="{C36D3CB5-550C-437F-BC01-9FF777EC5FB4}"/>
    <cellStyle name="Comma 9 2" xfId="228" xr:uid="{0DA82491-F242-4B9E-96F2-579AE557C534}"/>
    <cellStyle name="Comma 9 3" xfId="229" xr:uid="{90768E93-4DD6-4F78-A223-D370E489B9B8}"/>
    <cellStyle name="Comma 9 4" xfId="230" xr:uid="{2857CD1D-0236-40F3-8921-C02AD61B59BF}"/>
    <cellStyle name="Comma 9 5" xfId="231" xr:uid="{5FD78648-17C9-4D17-A630-EAEABB9C9AC0}"/>
    <cellStyle name="Comma 9 6" xfId="232" xr:uid="{B648DA72-7EA4-4499-BAE0-9EAB9F9938E9}"/>
    <cellStyle name="Comma 9 7" xfId="233" xr:uid="{66A5633F-5427-4F34-9810-414454068B23}"/>
    <cellStyle name="Comma 9 8" xfId="234" xr:uid="{E89DFC58-B5FA-4BFA-B031-44D33B5D06A6}"/>
    <cellStyle name="Comma 9 9" xfId="235" xr:uid="{A888A2CC-D1FE-4784-BF67-AB2D7839D8B2}"/>
    <cellStyle name="Input 2" xfId="236" xr:uid="{1BEB0F7D-3DE3-415E-A055-6BE6C87CC711}"/>
    <cellStyle name="Normal" xfId="0" builtinId="0"/>
    <cellStyle name="Normal 10" xfId="237" xr:uid="{475E2635-14D8-4CAC-B279-22AE06520748}"/>
    <cellStyle name="Normal 10 2" xfId="238" xr:uid="{969CDFFC-8476-47D0-9A57-2210E7FC9543}"/>
    <cellStyle name="Normal 10 3" xfId="239" xr:uid="{D6D98E71-A262-45F4-A7E2-B143551C666F}"/>
    <cellStyle name="Normal 10 4" xfId="240" xr:uid="{3F077B5F-3DFD-4D33-A884-FA37D03619B1}"/>
    <cellStyle name="Normal 10 5" xfId="241" xr:uid="{DAD1BA6F-2271-4923-A145-37F53A1FCEDB}"/>
    <cellStyle name="Normal 11" xfId="242" xr:uid="{EA40216B-9056-4438-B6F0-AEEEAB109310}"/>
    <cellStyle name="Normal 12" xfId="243" xr:uid="{715BC42C-3B42-46C0-B1CE-E6501579DA0C}"/>
    <cellStyle name="Normal 12 2" xfId="244" xr:uid="{20AADE8E-10E9-4252-AA8D-72873776AA62}"/>
    <cellStyle name="Normal 12 3" xfId="245" xr:uid="{9D2A674E-F854-4EDE-93C2-5796F38875DC}"/>
    <cellStyle name="Normal 12 4" xfId="246" xr:uid="{0DF480F2-345E-40AD-BBFD-1F5B6F672611}"/>
    <cellStyle name="Normal 12 5" xfId="247" xr:uid="{2F31467E-ADCE-431F-8F5E-30987A034350}"/>
    <cellStyle name="Normal 13" xfId="248" xr:uid="{FE05E4F7-E8A2-4D9C-B29C-FD0C66A44BF8}"/>
    <cellStyle name="Normal 13 2" xfId="249" xr:uid="{6E8D5CEF-84A3-4404-8E9A-E38690266E87}"/>
    <cellStyle name="Normal 13 3" xfId="250" xr:uid="{D1BD8F7B-DC4B-4544-AFBB-CF2F7A55978C}"/>
    <cellStyle name="Normal 13 4" xfId="251" xr:uid="{97925C67-9D03-4DA7-ABFA-3CF5370CF75D}"/>
    <cellStyle name="Normal 13 5" xfId="252" xr:uid="{815F996B-13D9-4FF8-8F31-142C55C35616}"/>
    <cellStyle name="Normal 14" xfId="253" xr:uid="{1326679D-1D92-4B41-B0E5-E86D0D61D7C7}"/>
    <cellStyle name="Normal 14 10" xfId="254" xr:uid="{95A9EF95-D23F-45CE-87FC-3A4E1B08A329}"/>
    <cellStyle name="Normal 14 11" xfId="255" xr:uid="{B4AE84BE-5A33-42AF-BD76-744DF03A2C8B}"/>
    <cellStyle name="Normal 14 12" xfId="256" xr:uid="{B3C7D70D-E34F-4509-B7BE-76819DCC7582}"/>
    <cellStyle name="Normal 14 2" xfId="257" xr:uid="{DF2EDB58-0BF9-4FD9-8B91-8DBE7C1E8CE6}"/>
    <cellStyle name="Normal 14 3" xfId="258" xr:uid="{FD8CA006-2D2F-4E54-9BEB-ECEDFA3B7A6A}"/>
    <cellStyle name="Normal 14 4" xfId="259" xr:uid="{F12DCBC3-7265-48FF-8372-817795CE0466}"/>
    <cellStyle name="Normal 14 5" xfId="260" xr:uid="{9FE7D1D1-C227-43D4-B8FE-7BDF70479925}"/>
    <cellStyle name="Normal 14 6" xfId="261" xr:uid="{9081BB42-4E69-412D-B611-838802DD07F4}"/>
    <cellStyle name="Normal 14 7" xfId="262" xr:uid="{384AF3AB-CA0C-4484-A18B-8B5C1DD53648}"/>
    <cellStyle name="Normal 14 8" xfId="263" xr:uid="{5615DE87-3CD1-4181-8A57-9E92F0AB05B0}"/>
    <cellStyle name="Normal 14 9" xfId="264" xr:uid="{5DD8680B-3F57-4E86-A94F-B156B404870A}"/>
    <cellStyle name="Normal 16" xfId="265" xr:uid="{BE949EBC-9E61-4C2B-BC9B-71DD4E81B6FD}"/>
    <cellStyle name="Normal 17" xfId="266" xr:uid="{FA3BB1B1-0526-421F-A59C-1789B6F78452}"/>
    <cellStyle name="Normal 17 2" xfId="267" xr:uid="{A3A0180C-3ABB-4B7F-A537-4CD59611B3EB}"/>
    <cellStyle name="Normal 17 3" xfId="268" xr:uid="{6C5E6953-3587-4D12-AEAD-3DC08D2D0767}"/>
    <cellStyle name="Normal 17 4" xfId="269" xr:uid="{317C817E-81E6-44A2-961E-59C0EC53AD91}"/>
    <cellStyle name="Normal 17 5" xfId="270" xr:uid="{54E6596D-DC8F-4E0E-A571-BC81A81E9DC1}"/>
    <cellStyle name="Normal 2" xfId="271" xr:uid="{CE4979EB-65AA-4064-B83D-B65F83B584D9}"/>
    <cellStyle name="Normal 2 10" xfId="272" xr:uid="{8F80F7D2-CF8F-4410-AF41-5D3E675DB4DB}"/>
    <cellStyle name="Normal 2 11" xfId="273" xr:uid="{7F18857A-8A5A-4B6E-A5AD-BE1256DBAC13}"/>
    <cellStyle name="Normal 2 12" xfId="274" xr:uid="{E0288B0C-44E0-4D1C-95A7-6B883B346F93}"/>
    <cellStyle name="Normal 2 13" xfId="275" xr:uid="{8D3BE903-4CF0-44EE-86D6-8A9E0D7B37E6}"/>
    <cellStyle name="Normal 2 14" xfId="276" xr:uid="{C7C2868D-15C2-4983-8575-BFA369D6F0E0}"/>
    <cellStyle name="Normal 2 15" xfId="277" xr:uid="{E84DB9F8-0D01-47EC-B5E4-BDE2D62BF49B}"/>
    <cellStyle name="Normal 2 16" xfId="278" xr:uid="{90D52A3F-5829-4FF9-86FD-6366FF4EFFB6}"/>
    <cellStyle name="Normal 2 17" xfId="279" xr:uid="{F3536CDF-E9DE-4C79-B588-0A576BEC2A7F}"/>
    <cellStyle name="Normal 2 18" xfId="280" xr:uid="{94D44951-038A-4906-810A-9B3E3F259F36}"/>
    <cellStyle name="Normal 2 19" xfId="281" xr:uid="{DB5EE2D7-2FFF-4DFA-B61A-7DAE79B9B601}"/>
    <cellStyle name="Normal 2 2" xfId="282" xr:uid="{47CAE490-DCE4-4942-AF0C-712B1746EC62}"/>
    <cellStyle name="Normal 2 20" xfId="283" xr:uid="{809DE9E0-B36A-4F64-B7BF-C5917EE711BB}"/>
    <cellStyle name="Normal 2 3" xfId="284" xr:uid="{E74035EB-1561-4AEA-AEC1-CD5E8A6BE583}"/>
    <cellStyle name="Normal 2 4" xfId="285" xr:uid="{D711257F-7E65-4DF5-B7FE-52FC7B72F310}"/>
    <cellStyle name="Normal 2 5" xfId="286" xr:uid="{56AA822F-8B99-47B0-B3A8-E4E246A910D3}"/>
    <cellStyle name="Normal 2 6" xfId="287" xr:uid="{2827BE74-F6BD-42FB-ADED-E2008A3636C6}"/>
    <cellStyle name="Normal 2 7" xfId="288" xr:uid="{8FF10A74-BA1E-4DB9-B7C3-1AF715D8D809}"/>
    <cellStyle name="Normal 2 8" xfId="289" xr:uid="{EB227434-FD01-49D4-81B1-B5C76CC07918}"/>
    <cellStyle name="Normal 2 9" xfId="290" xr:uid="{C0D19B97-F828-4BCC-B490-B190A7E298D5}"/>
    <cellStyle name="Normal 2_deposits mobilized" xfId="291" xr:uid="{56A5595D-8080-4CFC-8793-6D38937B4251}"/>
    <cellStyle name="Normal 21" xfId="292" xr:uid="{DE319F01-D60A-4115-9724-D171DF44F770}"/>
    <cellStyle name="Normal 21 10" xfId="293" xr:uid="{489CCE39-5FA5-40FD-9A8D-BCF0C79E1643}"/>
    <cellStyle name="Normal 21 11" xfId="294" xr:uid="{520CD160-14D9-4201-8357-0199F5F9F667}"/>
    <cellStyle name="Normal 21 12" xfId="295" xr:uid="{35BBF8C3-20CB-469E-8FE3-8EB8672A3137}"/>
    <cellStyle name="Normal 21 13" xfId="296" xr:uid="{1FD0580E-53CD-470B-A8C0-CBE5CD2F9B89}"/>
    <cellStyle name="Normal 21 14" xfId="297" xr:uid="{22A7D460-EBE7-4770-BA6E-1A69D1D98391}"/>
    <cellStyle name="Normal 21 15" xfId="298" xr:uid="{38635A22-5D17-4F13-9BAC-B7C01DE4678E}"/>
    <cellStyle name="Normal 21 16" xfId="299" xr:uid="{0B1A201D-1395-4557-8D10-61C432C6F6EB}"/>
    <cellStyle name="Normal 21 2" xfId="300" xr:uid="{BDFFD4C3-7297-4A02-B921-961A88371CE2}"/>
    <cellStyle name="Normal 21 3" xfId="301" xr:uid="{10245500-F52C-427C-B25F-18056976A0F0}"/>
    <cellStyle name="Normal 21 4" xfId="302" xr:uid="{28B76B57-A16C-48FE-B900-01AEE97D8024}"/>
    <cellStyle name="Normal 21 5" xfId="303" xr:uid="{FB095631-B1B0-4632-A571-87F5CEF213B8}"/>
    <cellStyle name="Normal 21 6" xfId="304" xr:uid="{5C83D957-6E91-4D85-8044-3D8444C2B33E}"/>
    <cellStyle name="Normal 21 7" xfId="305" xr:uid="{C7D117AB-99BF-4B66-941C-6C2FDBF7A9B0}"/>
    <cellStyle name="Normal 21 8" xfId="306" xr:uid="{87E857DF-7728-42AD-B157-32DFB931C7DE}"/>
    <cellStyle name="Normal 21 9" xfId="307" xr:uid="{7CEA6E03-ABA6-4856-9D55-ACDE1AF87485}"/>
    <cellStyle name="Normal 22" xfId="308" xr:uid="{493C6740-8C8B-49D4-B3C4-20121E60689A}"/>
    <cellStyle name="Normal 26" xfId="309" xr:uid="{99A94B12-0CA8-4FEE-8BEF-6524858BAC61}"/>
    <cellStyle name="Normal 27" xfId="310" xr:uid="{AE90D821-9990-412F-8855-32B5F1845C4C}"/>
    <cellStyle name="Normal 3" xfId="311" xr:uid="{43F144E0-3751-4A49-B628-60E13C306713}"/>
    <cellStyle name="Normal 3 10" xfId="312" xr:uid="{C02F9CD4-73D1-42C5-B1E1-60431B5DE464}"/>
    <cellStyle name="Normal 3 11" xfId="313" xr:uid="{2B850D34-7016-41D3-A959-6A99CA0E088A}"/>
    <cellStyle name="Normal 3 12" xfId="314" xr:uid="{C5392A0D-8CB9-40ED-BE1A-D507BA98E50C}"/>
    <cellStyle name="Normal 3 13" xfId="315" xr:uid="{664D87D7-61FE-4E2A-A41C-3C0CD6941742}"/>
    <cellStyle name="Normal 3 14" xfId="316" xr:uid="{A4BC8FD9-978F-49D1-868B-EF8A1445801B}"/>
    <cellStyle name="Normal 3 15" xfId="317" xr:uid="{5EBC3576-6F2F-442E-A79C-69A4AA8EB421}"/>
    <cellStyle name="Normal 3 16" xfId="318" xr:uid="{8BE05DBB-3ECA-4D73-981C-4A9726F302AF}"/>
    <cellStyle name="Normal 3 17" xfId="319" xr:uid="{18623752-20FB-430D-B5F3-499467362F82}"/>
    <cellStyle name="Normal 3 18" xfId="320" xr:uid="{7414E9BB-3F96-4E9C-96B4-FE07AC27874B}"/>
    <cellStyle name="Normal 3 19" xfId="321" xr:uid="{8429357D-081A-4FAA-B580-4D02293E7C58}"/>
    <cellStyle name="Normal 3 2" xfId="322" xr:uid="{6451BA87-04AA-4A12-A358-9BA67E6820AD}"/>
    <cellStyle name="Normal 3 20" xfId="323" xr:uid="{6C3F582B-6FC8-4A2E-84FC-0E97C5898D81}"/>
    <cellStyle name="Normal 3 21" xfId="324" xr:uid="{758B1055-330D-401B-AFCD-3CC390F40647}"/>
    <cellStyle name="Normal 3 22" xfId="325" xr:uid="{BA803505-EFD1-4E70-9D96-BEF1FC630DBC}"/>
    <cellStyle name="Normal 3 23" xfId="326" xr:uid="{0EE3CC61-F4C3-471B-BB58-A49B2DEA2AE3}"/>
    <cellStyle name="Normal 3 24" xfId="327" xr:uid="{E2D6A2EB-A114-43D1-8729-4C35422B80F7}"/>
    <cellStyle name="Normal 3 25" xfId="328" xr:uid="{1FAFABFB-2C4C-4C2B-9B64-6023CDA96F5D}"/>
    <cellStyle name="Normal 3 26" xfId="329" xr:uid="{B0FF9975-60F9-4434-851B-311E65C4C7A2}"/>
    <cellStyle name="Normal 3 27" xfId="330" xr:uid="{6A32B066-E039-45CD-A594-F7FDA4F2EC4D}"/>
    <cellStyle name="Normal 3 28" xfId="331" xr:uid="{BE234708-78E8-4AF8-B05B-4DB09849864F}"/>
    <cellStyle name="Normal 3 29" xfId="332" xr:uid="{2C12AAA4-6619-498F-B509-B517F920520A}"/>
    <cellStyle name="Normal 3 3" xfId="333" xr:uid="{3572EF22-C6CA-436D-8144-9BE4175DFB57}"/>
    <cellStyle name="Normal 3 30" xfId="334" xr:uid="{D3C252BB-1F8E-4D83-A67A-651259CE65AB}"/>
    <cellStyle name="Normal 3 4" xfId="335" xr:uid="{885EBCD5-A52A-44B2-853D-1577D2B6B4D7}"/>
    <cellStyle name="Normal 3 5" xfId="336" xr:uid="{2441A2D1-3F5F-45C7-A7E3-55BF110413CB}"/>
    <cellStyle name="Normal 3 6" xfId="337" xr:uid="{86C2A164-0F3C-40C3-9D70-17A58B274BEE}"/>
    <cellStyle name="Normal 3 7" xfId="338" xr:uid="{76D7AE6A-125C-46C0-9EE8-A3AAC1367907}"/>
    <cellStyle name="Normal 3 8" xfId="339" xr:uid="{A5167078-A6BF-41D6-A502-461A538140C1}"/>
    <cellStyle name="Normal 3 9" xfId="340" xr:uid="{A2480098-3DB6-4A7E-8DDF-65C76F9FB595}"/>
    <cellStyle name="Normal 3_deposits mobilized" xfId="341" xr:uid="{2B766013-1F39-4016-A9B6-0C12B0F201F7}"/>
    <cellStyle name="Normal 4" xfId="342" xr:uid="{FD23DFD9-CB85-4BF5-B5B9-8AF76AB7A2EB}"/>
    <cellStyle name="Normal 4 10" xfId="343" xr:uid="{B763CB2E-F241-4847-844C-CAC807101171}"/>
    <cellStyle name="Normal 4 11" xfId="344" xr:uid="{8C6727DA-559E-47AB-A074-79426CE7D5F5}"/>
    <cellStyle name="Normal 4 12" xfId="345" xr:uid="{26ED05DB-1BB8-4035-B957-09A634AA081B}"/>
    <cellStyle name="Normal 4 13" xfId="346" xr:uid="{9E5FA8AB-CCD2-474B-8D65-D11F11C2D59E}"/>
    <cellStyle name="Normal 4 14" xfId="347" xr:uid="{45A18393-1DD2-4B57-9D3E-7FC5F931A9D2}"/>
    <cellStyle name="Normal 4 15" xfId="348" xr:uid="{8D5E3071-B56B-4CE8-819C-CFDC4E2E9774}"/>
    <cellStyle name="Normal 4 16" xfId="349" xr:uid="{633A4A8F-2499-4460-B335-49F25682EA15}"/>
    <cellStyle name="Normal 4 17" xfId="350" xr:uid="{9EE26F9E-573A-42C7-9DCF-E187AC0F62E1}"/>
    <cellStyle name="Normal 4 18" xfId="351" xr:uid="{35E03A52-BB7E-4FE5-BABD-5C1E9509D4AA}"/>
    <cellStyle name="Normal 4 19" xfId="352" xr:uid="{F6C264F6-E143-4FA5-8FB6-C7BE60B4EE6F}"/>
    <cellStyle name="Normal 4 2" xfId="353" xr:uid="{EBAABE45-40ED-496B-A0E5-E1581740DDAC}"/>
    <cellStyle name="Normal 4 20" xfId="354" xr:uid="{293A2529-5841-4159-9A25-38394535B5F0}"/>
    <cellStyle name="Normal 4 21" xfId="355" xr:uid="{B548F718-77D7-4519-B2C1-3277104C4E87}"/>
    <cellStyle name="Normal 4 22" xfId="356" xr:uid="{12363CD2-B464-43A0-A0AA-4BD9E2102962}"/>
    <cellStyle name="Normal 4 23" xfId="357" xr:uid="{9F18C598-77D5-497A-8D04-CAB5D1810433}"/>
    <cellStyle name="Normal 4 24" xfId="358" xr:uid="{1935AE4D-BF60-4A4A-A0DB-5EDE1594EB86}"/>
    <cellStyle name="Normal 4 25" xfId="359" xr:uid="{241E170C-9347-40FF-B5E1-7BEE8B87C7F0}"/>
    <cellStyle name="Normal 4 26" xfId="360" xr:uid="{A3203545-6917-4386-AE29-A0CE66088AE5}"/>
    <cellStyle name="Normal 4 27" xfId="361" xr:uid="{3FA05D5B-D9E2-4429-A0C2-AF2B6110F0C7}"/>
    <cellStyle name="Normal 4 28" xfId="362" xr:uid="{1AB91B89-817A-47E6-9537-813497109DC7}"/>
    <cellStyle name="Normal 4 29" xfId="363" xr:uid="{F9C5B35C-D333-48FC-A102-4BB82D0AAAB1}"/>
    <cellStyle name="Normal 4 3" xfId="364" xr:uid="{D8C89F85-0583-4D07-A494-F090B7F4C35D}"/>
    <cellStyle name="Normal 4 30" xfId="365" xr:uid="{98A6B9C4-F9C0-411D-9AF2-03620FBC477E}"/>
    <cellStyle name="Normal 4 4" xfId="366" xr:uid="{85B13893-6B0A-4AF0-9835-EC4BEEB52C44}"/>
    <cellStyle name="Normal 4 5" xfId="367" xr:uid="{2C7207EA-C3AC-457F-9382-6C0583072BBC}"/>
    <cellStyle name="Normal 4 6" xfId="368" xr:uid="{9A6B46B9-4FAF-446C-B9DB-E76912773ECD}"/>
    <cellStyle name="Normal 4 7" xfId="369" xr:uid="{7BD22607-244A-4848-8907-980C7A92D52F}"/>
    <cellStyle name="Normal 4 8" xfId="370" xr:uid="{6EF5B8F4-F411-4575-81D3-B82FE2CDCDD7}"/>
    <cellStyle name="Normal 4 9" xfId="371" xr:uid="{19D36F37-8110-4AE2-8952-4700B4FDFFBB}"/>
    <cellStyle name="Normal 5" xfId="372" xr:uid="{8CED8302-2DD3-4A2D-A74F-73F9857F914A}"/>
    <cellStyle name="Normal 5 10" xfId="373" xr:uid="{E7DFA65A-776D-471D-830F-C2E820483668}"/>
    <cellStyle name="Normal 5 11" xfId="374" xr:uid="{71C4D5C9-6FDB-4357-8518-7ADD3879E8F7}"/>
    <cellStyle name="Normal 5 12" xfId="375" xr:uid="{F9A52789-3EE2-4F8C-9C1D-63511BDEF55E}"/>
    <cellStyle name="Normal 5 13" xfId="376" xr:uid="{E3F4BB1C-B62B-4760-AB95-3639CE8A9A3A}"/>
    <cellStyle name="Normal 5 14" xfId="377" xr:uid="{27D9A8AD-6EC0-4CDD-B258-7CEE6BB9E131}"/>
    <cellStyle name="Normal 5 15" xfId="378" xr:uid="{F8F277EA-942F-43FE-8AD6-DEBE7D177FAD}"/>
    <cellStyle name="Normal 5 2" xfId="379" xr:uid="{866D9A4D-A021-47A6-8EC4-5599A39EF04A}"/>
    <cellStyle name="Normal 5 3" xfId="380" xr:uid="{C3DC54FF-B2E3-4A85-95A6-9154F9EA20BA}"/>
    <cellStyle name="Normal 5 4" xfId="381" xr:uid="{507147B2-630C-4F8D-95EC-ED80608BDEE5}"/>
    <cellStyle name="Normal 5 5" xfId="382" xr:uid="{0AD0A397-5438-4078-A1CB-37C948062C48}"/>
    <cellStyle name="Normal 5 6" xfId="383" xr:uid="{165B4E13-6A1E-4467-9A17-E681C25428F1}"/>
    <cellStyle name="Normal 5 7" xfId="384" xr:uid="{2DBEFCE3-C69F-4619-B8CA-5464ACD07DAB}"/>
    <cellStyle name="Normal 5 8" xfId="385" xr:uid="{A512B6D3-7A46-430C-9892-5431425E7507}"/>
    <cellStyle name="Normal 5 9" xfId="386" xr:uid="{A470EC1B-7275-4627-8408-7A45CDBA4891}"/>
    <cellStyle name="Normal 6" xfId="387" xr:uid="{12DBCD4D-729B-4862-A628-A62FC5F12AAD}"/>
    <cellStyle name="Normal 6 2" xfId="388" xr:uid="{CDBF51A8-B9F3-47ED-B241-444C708209FC}"/>
    <cellStyle name="Normal 6 3" xfId="389" xr:uid="{00BB3440-B4AC-4F40-9340-16E327B0DE6A}"/>
    <cellStyle name="Normal 6 4" xfId="390" xr:uid="{00A2FC3E-EAEF-4D08-A159-BA5B15726519}"/>
    <cellStyle name="Normal 7" xfId="1" xr:uid="{EA5C70B4-8451-4A60-9647-B48D1E54E2B7}"/>
    <cellStyle name="Normal 7 2" xfId="391" xr:uid="{5260689A-8849-4CE1-9C09-EF4E38410B8C}"/>
    <cellStyle name="Normal 7 3" xfId="392" xr:uid="{18E67303-2CBB-46A4-A866-D9CD8026E5E8}"/>
    <cellStyle name="Normal 7 4" xfId="393" xr:uid="{CB7500D5-067D-4AB8-9731-5DE4DD260B1A}"/>
    <cellStyle name="Normal 8" xfId="394" xr:uid="{B2E476F0-5AA1-4DF6-8A38-C6A5D03D0B29}"/>
    <cellStyle name="Normal 9" xfId="395" xr:uid="{268874D6-A1D6-4B2A-A6A0-619BF4BFF468}"/>
    <cellStyle name="Normal 9 10" xfId="396" xr:uid="{0242A431-28CD-419E-AEE8-3743E4611EB9}"/>
    <cellStyle name="Normal 9 11" xfId="397" xr:uid="{1FD89218-6EB9-49EC-BF51-06C670FD5410}"/>
    <cellStyle name="Normal 9 12" xfId="398" xr:uid="{44CBF0C9-A74D-45D6-8B8F-6462A0AC2C46}"/>
    <cellStyle name="Normal 9 13" xfId="399" xr:uid="{22459790-92B4-4F27-AC25-91854444FE4D}"/>
    <cellStyle name="Normal 9 14" xfId="400" xr:uid="{29117B5A-08A0-454F-9F4A-62EDCDBEEC66}"/>
    <cellStyle name="Normal 9 2" xfId="401" xr:uid="{F6B65A0A-98C6-4CA9-A3A3-2C46BE1798C0}"/>
    <cellStyle name="Normal 9 2 2" xfId="402" xr:uid="{AB5DD2FF-3F72-4028-AED9-472AD24D8CF6}"/>
    <cellStyle name="Normal 9 2 3" xfId="403" xr:uid="{D514A772-1B75-450E-AD83-54C6B5E837B9}"/>
    <cellStyle name="Normal 9 2 4" xfId="404" xr:uid="{6B507CF3-73D2-412A-B2D3-C6CA36518E80}"/>
    <cellStyle name="Normal 9 3" xfId="405" xr:uid="{6A29BC80-F972-46B5-B7DA-5E41973E710C}"/>
    <cellStyle name="Normal 9 4" xfId="406" xr:uid="{F4FD034E-AF6B-49D8-9A50-FB3BFDC87836}"/>
    <cellStyle name="Normal 9 5" xfId="407" xr:uid="{E82C7BC3-C83D-4A5F-9684-A9E4D2332911}"/>
    <cellStyle name="Normal 9 6" xfId="408" xr:uid="{5515385C-EC40-47D5-BA19-D24A830AE579}"/>
    <cellStyle name="Normal 9 7" xfId="409" xr:uid="{0A7EEF35-84E3-454E-BE7D-FCF5DD2A9127}"/>
    <cellStyle name="Normal 9 8" xfId="410" xr:uid="{282C5655-7253-4958-8DEE-E50094A9D3FF}"/>
    <cellStyle name="Normal 9 9" xfId="411" xr:uid="{B1B6B1D4-91ED-4E34-A9E0-AACDC8356CDB}"/>
    <cellStyle name="Note 2" xfId="412" xr:uid="{FE260415-5D5C-4574-940C-FF99A5FEDF92}"/>
    <cellStyle name="Percent 2" xfId="413" xr:uid="{8DE4ED42-ED55-42F3-A249-8667114637F6}"/>
    <cellStyle name="Percent 3" xfId="414" xr:uid="{205C9596-F68E-4A4F-8734-F8AEED45BF8C}"/>
    <cellStyle name="Total 2" xfId="415" xr:uid="{5B751B2D-ED48-4322-AAB3-A237FF5EFAF3}"/>
    <cellStyle name="Total 2 2" xfId="416" xr:uid="{36B3AB6F-6123-4291-B661-2410F4200561}"/>
  </cellStyles>
  <dxfs count="3"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Q2" insertRow="1" totalsRowShown="0" headerRowDxfId="2">
  <autoFilter ref="A1:Q2" xr:uid="{41D726F2-778D-4B1C-A5EA-875FED73D050}"/>
  <tableColumns count="17">
    <tableColumn id="1" xr3:uid="{21867904-D69E-41E3-B5BE-D9B124B8D7E4}" name="ReportForNavId_1"/>
    <tableColumn id="2" xr3:uid="{21867904-D69E-41E3-B5BE-D9B124B8D7E4}" name="CompanyName"/>
    <tableColumn id="3" xr3:uid="{21867904-D69E-41E3-B5BE-D9B124B8D7E4}" name="Count2" dataDxfId="1"/>
    <tableColumn id="4" xr3:uid="{21867904-D69E-41E3-B5BE-D9B124B8D7E4}" name="Balance2"/>
    <tableColumn id="5" xr3:uid="{21867904-D69E-41E3-B5BE-D9B124B8D7E4}" name="Count3"/>
    <tableColumn id="6" xr3:uid="{21867904-D69E-41E3-B5BE-D9B124B8D7E4}" name="Balance3"/>
    <tableColumn id="7" xr3:uid="{21867904-D69E-41E3-B5BE-D9B124B8D7E4}" name="Count4" dataDxfId="0"/>
    <tableColumn id="8" xr3:uid="{21867904-D69E-41E3-B5BE-D9B124B8D7E4}" name="Balance4"/>
    <tableColumn id="9" xr3:uid="{21867904-D69E-41E3-B5BE-D9B124B8D7E4}" name="Count5"/>
    <tableColumn id="10" xr3:uid="{21867904-D69E-41E3-B5BE-D9B124B8D7E4}" name="Balance5"/>
    <tableColumn id="11" xr3:uid="{21867904-D69E-41E3-B5BE-D9B124B8D7E4}" name="GrandTotalCount"/>
    <tableColumn id="12" xr3:uid="{21867904-D69E-41E3-B5BE-D9B124B8D7E4}" name="GrantTotalBalances"/>
    <tableColumn id="13" xr3:uid="{21867904-D69E-41E3-B5BE-D9B124B8D7E4}" name="Count1"/>
    <tableColumn id="14" xr3:uid="{21867904-D69E-41E3-B5BE-D9B124B8D7E4}" name="Balance"/>
    <tableColumn id="15" xr3:uid="{21867904-D69E-41E3-B5BE-D9B124B8D7E4}" name="FinancialYear"/>
    <tableColumn id="16" xr3:uid="{21867904-D69E-41E3-B5BE-D9B124B8D7E4}" name="YearBeginDate"/>
    <tableColumn id="17" xr3:uid="{21867904-D69E-41E3-B5BE-D9B124B8D7E4}" name="As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18F2-005D-45CA-80B5-652120DAA60E}">
  <dimension ref="A1:E32"/>
  <sheetViews>
    <sheetView tabSelected="1" topLeftCell="A2" workbookViewId="0">
      <selection activeCell="D12" sqref="D12"/>
    </sheetView>
  </sheetViews>
  <sheetFormatPr defaultRowHeight="15" x14ac:dyDescent="0.25"/>
  <cols>
    <col min="2" max="2" width="24.7109375" customWidth="1"/>
    <col min="3" max="3" width="38.140625" customWidth="1"/>
    <col min="4" max="4" width="18.85546875" customWidth="1"/>
    <col min="5" max="5" width="52" customWidth="1"/>
  </cols>
  <sheetData>
    <row r="1" spans="1:5" ht="15.75" x14ac:dyDescent="0.25">
      <c r="A1" s="3"/>
      <c r="B1" s="4" t="s">
        <v>17</v>
      </c>
      <c r="C1" s="3"/>
      <c r="D1" s="7"/>
      <c r="E1" s="7"/>
    </row>
    <row r="2" spans="1:5" ht="15.75" x14ac:dyDescent="0.25">
      <c r="A2" s="3"/>
      <c r="B2" s="11" t="s">
        <v>18</v>
      </c>
      <c r="C2" s="3"/>
      <c r="D2" s="7"/>
      <c r="E2" s="7"/>
    </row>
    <row r="3" spans="1:5" ht="15.75" x14ac:dyDescent="0.25">
      <c r="A3" s="3"/>
      <c r="B3" s="11" t="s">
        <v>19</v>
      </c>
      <c r="C3" s="3"/>
      <c r="D3" s="7"/>
      <c r="E3" s="7"/>
    </row>
    <row r="4" spans="1:5" ht="15.75" x14ac:dyDescent="0.25">
      <c r="A4" s="3"/>
      <c r="B4" s="4" t="s">
        <v>20</v>
      </c>
      <c r="C4" s="3"/>
      <c r="D4" s="7"/>
      <c r="E4" s="9"/>
    </row>
    <row r="5" spans="1:5" ht="15.75" x14ac:dyDescent="0.25">
      <c r="A5" s="3"/>
      <c r="B5" s="4" t="s">
        <v>21</v>
      </c>
      <c r="C5" s="3"/>
      <c r="D5" s="7"/>
      <c r="E5" s="9"/>
    </row>
    <row r="6" spans="1:5" ht="15.75" x14ac:dyDescent="0.25">
      <c r="A6" s="3"/>
      <c r="B6" s="4" t="s">
        <v>22</v>
      </c>
      <c r="C6" s="3"/>
      <c r="D6" s="7"/>
      <c r="E6" s="10"/>
    </row>
    <row r="7" spans="1:5" ht="15.75" x14ac:dyDescent="0.25">
      <c r="A7" s="3"/>
      <c r="B7" s="4" t="s">
        <v>23</v>
      </c>
      <c r="C7" s="3"/>
      <c r="D7" s="7"/>
      <c r="E7" s="10"/>
    </row>
    <row r="8" spans="1:5" ht="15.75" x14ac:dyDescent="0.25">
      <c r="A8" s="3"/>
      <c r="B8" s="3"/>
      <c r="C8" s="3"/>
      <c r="D8" s="7"/>
      <c r="E8" s="7"/>
    </row>
    <row r="9" spans="1:5" ht="15.75" x14ac:dyDescent="0.25">
      <c r="A9" s="6" t="s">
        <v>24</v>
      </c>
      <c r="B9" s="4" t="s">
        <v>25</v>
      </c>
      <c r="C9" s="5" t="s">
        <v>26</v>
      </c>
      <c r="D9" s="12" t="s">
        <v>27</v>
      </c>
      <c r="E9" s="18" t="s">
        <v>28</v>
      </c>
    </row>
    <row r="10" spans="1:5" ht="15.75" x14ac:dyDescent="0.25">
      <c r="A10" s="3">
        <v>1</v>
      </c>
      <c r="B10" s="3" t="s">
        <v>29</v>
      </c>
      <c r="C10" s="3" t="s">
        <v>30</v>
      </c>
      <c r="D10" s="7">
        <f>SUM(Data[Count1])</f>
        <v>0</v>
      </c>
      <c r="E10" s="20">
        <f>SUM(Data[Balance])</f>
        <v>0</v>
      </c>
    </row>
    <row r="11" spans="1:5" ht="15.75" x14ac:dyDescent="0.25">
      <c r="A11" s="3"/>
      <c r="B11" s="3"/>
      <c r="C11" s="3"/>
      <c r="D11" s="7"/>
      <c r="E11" s="7"/>
    </row>
    <row r="12" spans="1:5" ht="15.75" x14ac:dyDescent="0.25">
      <c r="A12" s="3">
        <v>2</v>
      </c>
      <c r="B12" s="3" t="s">
        <v>31</v>
      </c>
      <c r="C12" s="3" t="s">
        <v>30</v>
      </c>
      <c r="D12" s="23">
        <f>SUM(Data[Count2])</f>
        <v>0</v>
      </c>
      <c r="E12" s="20">
        <f>SUM(Data[Balance2])</f>
        <v>0</v>
      </c>
    </row>
    <row r="13" spans="1:5" ht="15.75" x14ac:dyDescent="0.25">
      <c r="A13" s="3"/>
      <c r="B13" s="3"/>
      <c r="C13" s="3"/>
      <c r="D13" s="7"/>
      <c r="E13" s="7"/>
    </row>
    <row r="14" spans="1:5" ht="15.75" x14ac:dyDescent="0.25">
      <c r="A14" s="3">
        <v>3</v>
      </c>
      <c r="B14" s="3" t="s">
        <v>32</v>
      </c>
      <c r="C14" s="3" t="s">
        <v>30</v>
      </c>
      <c r="D14" s="7">
        <f>SUM(Data[Count3])</f>
        <v>0</v>
      </c>
      <c r="E14" s="20">
        <f>SUM(Data[Balance3])</f>
        <v>0</v>
      </c>
    </row>
    <row r="15" spans="1:5" ht="15.75" x14ac:dyDescent="0.25">
      <c r="A15" s="3"/>
      <c r="B15" s="3"/>
      <c r="C15" s="3"/>
      <c r="D15" s="7"/>
      <c r="E15" s="7"/>
    </row>
    <row r="16" spans="1:5" ht="15.75" x14ac:dyDescent="0.25">
      <c r="A16" s="3">
        <v>4</v>
      </c>
      <c r="B16" s="3" t="s">
        <v>33</v>
      </c>
      <c r="C16" s="3" t="s">
        <v>30</v>
      </c>
      <c r="D16" s="7">
        <f>SUM(Data[Count4])</f>
        <v>0</v>
      </c>
      <c r="E16" s="20">
        <f>SUM(Data[Balance4])</f>
        <v>0</v>
      </c>
    </row>
    <row r="17" spans="1:5" ht="15.75" x14ac:dyDescent="0.25">
      <c r="A17" s="3"/>
      <c r="B17" s="3"/>
      <c r="C17" s="3"/>
      <c r="D17" s="7"/>
      <c r="E17" s="7"/>
    </row>
    <row r="18" spans="1:5" ht="15.75" x14ac:dyDescent="0.25">
      <c r="A18" s="3">
        <v>5</v>
      </c>
      <c r="B18" s="3" t="s">
        <v>34</v>
      </c>
      <c r="C18" s="3" t="s">
        <v>30</v>
      </c>
      <c r="D18" s="7">
        <f>SUM(Data[Count5])</f>
        <v>0</v>
      </c>
      <c r="E18" s="20">
        <f>SUM(Data[Balance5])</f>
        <v>0</v>
      </c>
    </row>
    <row r="19" spans="1:5" ht="15.75" x14ac:dyDescent="0.25">
      <c r="A19" s="3"/>
      <c r="B19" s="3"/>
      <c r="C19" s="3"/>
      <c r="D19" s="7"/>
      <c r="E19" s="7"/>
    </row>
    <row r="20" spans="1:5" ht="15.75" x14ac:dyDescent="0.25">
      <c r="A20" s="13"/>
      <c r="B20" s="13"/>
      <c r="C20" s="13" t="s">
        <v>35</v>
      </c>
      <c r="D20" s="1">
        <f>SUM(Data[GrandTotalCount])</f>
        <v>0</v>
      </c>
      <c r="E20" s="21">
        <f>SUM(Data[GrantTotalBalances])</f>
        <v>0</v>
      </c>
    </row>
    <row r="21" spans="1:5" ht="15.75" x14ac:dyDescent="0.25">
      <c r="A21" s="14"/>
      <c r="B21" s="14"/>
      <c r="C21" s="15"/>
      <c r="D21" s="16"/>
      <c r="E21" s="16"/>
    </row>
    <row r="22" spans="1:5" ht="15.75" x14ac:dyDescent="0.25">
      <c r="A22" s="14"/>
      <c r="B22" s="15" t="s">
        <v>36</v>
      </c>
      <c r="C22" s="14"/>
      <c r="D22" s="16"/>
      <c r="E22" s="16"/>
    </row>
    <row r="23" spans="1:5" ht="15.75" x14ac:dyDescent="0.25">
      <c r="A23" s="14"/>
      <c r="B23" s="14" t="s">
        <v>37</v>
      </c>
      <c r="C23" s="14"/>
      <c r="D23" s="16"/>
      <c r="E23" s="16"/>
    </row>
    <row r="24" spans="1:5" ht="15.75" x14ac:dyDescent="0.25">
      <c r="A24" s="14"/>
      <c r="B24" s="14"/>
      <c r="C24" s="14"/>
      <c r="D24" s="16"/>
      <c r="E24" s="16"/>
    </row>
    <row r="25" spans="1:5" ht="15.75" x14ac:dyDescent="0.25">
      <c r="A25" s="14"/>
      <c r="B25" s="17" t="s">
        <v>38</v>
      </c>
      <c r="C25" s="16"/>
      <c r="D25" s="16"/>
      <c r="E25" s="16"/>
    </row>
    <row r="26" spans="1:5" ht="15.75" x14ac:dyDescent="0.25">
      <c r="A26" s="14"/>
      <c r="B26" s="16" t="s">
        <v>39</v>
      </c>
      <c r="C26" s="16"/>
      <c r="D26" s="16"/>
      <c r="E26" s="16"/>
    </row>
    <row r="27" spans="1:5" ht="15.75" x14ac:dyDescent="0.25">
      <c r="A27" s="14"/>
      <c r="B27" s="16" t="s">
        <v>40</v>
      </c>
      <c r="C27" s="16"/>
      <c r="D27" s="16"/>
      <c r="E27" s="16"/>
    </row>
    <row r="28" spans="1:5" ht="15.75" x14ac:dyDescent="0.25">
      <c r="A28" s="14"/>
      <c r="B28" s="17" t="s">
        <v>41</v>
      </c>
      <c r="C28" s="16"/>
      <c r="D28" s="16"/>
      <c r="E28" s="16"/>
    </row>
    <row r="29" spans="1:5" ht="15.75" x14ac:dyDescent="0.25">
      <c r="A29" s="14"/>
      <c r="B29" s="16" t="s">
        <v>42</v>
      </c>
      <c r="C29" s="16"/>
      <c r="D29" s="16"/>
      <c r="E29" s="16"/>
    </row>
    <row r="30" spans="1:5" ht="15.75" x14ac:dyDescent="0.25">
      <c r="A30" s="14"/>
      <c r="B30" s="17" t="s">
        <v>43</v>
      </c>
      <c r="C30" s="16"/>
      <c r="D30" s="16"/>
      <c r="E30" s="16"/>
    </row>
    <row r="31" spans="1:5" ht="15.75" x14ac:dyDescent="0.25">
      <c r="A31" s="2"/>
      <c r="B31" s="8"/>
      <c r="C31" s="8"/>
      <c r="D31" s="2"/>
      <c r="E31" s="2"/>
    </row>
    <row r="32" spans="1:5" ht="15.75" x14ac:dyDescent="0.25">
      <c r="A32" s="2"/>
      <c r="B32" s="8"/>
      <c r="C32" s="8"/>
      <c r="D32" s="2"/>
      <c r="E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8.42578125" bestFit="1" customWidth="1"/>
    <col min="2" max="2" width="17" bestFit="1" customWidth="1"/>
    <col min="3" max="3" width="9.5703125" bestFit="1" customWidth="1"/>
    <col min="4" max="4" width="11.140625" bestFit="1" customWidth="1"/>
    <col min="11" max="11" width="28" customWidth="1"/>
    <col min="12" max="12" width="20.7109375" bestFit="1" customWidth="1"/>
    <col min="13" max="13" width="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C2" s="19"/>
      <c r="G2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DepositRetun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KOGEI</cp:lastModifiedBy>
  <dcterms:modified xsi:type="dcterms:W3CDTF">2022-10-30T10:36:06Z</dcterms:modified>
</cp:coreProperties>
</file>