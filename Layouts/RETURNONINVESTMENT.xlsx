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cuments\Sasra Reports\"/>
    </mc:Choice>
  </mc:AlternateContent>
  <xr:revisionPtr revIDLastSave="0" documentId="13_ncr:1_{E172FD02-0A8D-46AB-8B88-579320AA480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Return On Invest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2" l="1"/>
  <c r="C6" i="2"/>
  <c r="C5" i="2"/>
  <c r="C4" i="2"/>
  <c r="C3" i="2"/>
  <c r="C17" i="2"/>
  <c r="C23" i="2" s="1"/>
  <c r="C16" i="2"/>
  <c r="C19" i="2" s="1"/>
  <c r="C21" i="2" s="1"/>
  <c r="C39" i="2" s="1"/>
  <c r="C41" i="2" s="1"/>
  <c r="C15" i="2"/>
  <c r="C14" i="2"/>
  <c r="C31" i="2" s="1"/>
  <c r="C33" i="2" s="1"/>
  <c r="C13" i="2"/>
  <c r="C12" i="2" s="1"/>
  <c r="C27" i="2" s="1"/>
  <c r="C29" i="2" s="1"/>
  <c r="C11" i="2"/>
  <c r="C10" i="2"/>
  <c r="C9" i="2"/>
  <c r="C8" i="2"/>
  <c r="C35" i="2" l="1"/>
  <c r="C3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IORETA</author>
  </authors>
  <commentList>
    <comment ref="C5" authorId="0" shapeId="0" xr:uid="{2CCE6681-D577-4B7E-915B-B51639891F3C}">
      <text>
        <r>
          <rPr>
            <b/>
            <sz val="9"/>
            <rFont val="Tahoma"/>
            <family val="2"/>
          </rPr>
          <t>Start Date:</t>
        </r>
        <r>
          <rPr>
            <sz val="9"/>
            <rFont val="Tahoma"/>
            <family val="2"/>
          </rPr>
          <t xml:space="preserve">
Start Date Of The Year</t>
        </r>
      </text>
    </comment>
    <comment ref="C6" authorId="0" shapeId="0" xr:uid="{4E7F6293-1C97-4C0D-81CD-3BA23BEC8F6C}">
      <text>
        <r>
          <rPr>
            <b/>
            <sz val="9"/>
            <rFont val="Tahoma"/>
            <family val="2"/>
          </rPr>
          <t>Start Date:</t>
        </r>
        <r>
          <rPr>
            <sz val="9"/>
            <rFont val="Tahoma"/>
            <family val="2"/>
          </rPr>
          <t xml:space="preserve">
Start Date Of The Year</t>
        </r>
      </text>
    </comment>
  </commentList>
</comments>
</file>

<file path=xl/sharedStrings.xml><?xml version="1.0" encoding="utf-8"?>
<sst xmlns="http://schemas.openxmlformats.org/spreadsheetml/2006/main" count="78" uniqueCount="78">
  <si>
    <t>AsAt</t>
  </si>
  <si>
    <t>StartDate</t>
  </si>
  <si>
    <t>FinancialYear</t>
  </si>
  <si>
    <t>name</t>
  </si>
  <si>
    <t>CoreCapital</t>
  </si>
  <si>
    <t>TotalAssets</t>
  </si>
  <si>
    <t>TotalDeposits</t>
  </si>
  <si>
    <t>Nonearningassets</t>
  </si>
  <si>
    <t>FinancialAssets</t>
  </si>
  <si>
    <t>SubsidiaryandRelated</t>
  </si>
  <si>
    <t>Equityinvestment</t>
  </si>
  <si>
    <t>Otherinvestments</t>
  </si>
  <si>
    <t>LandBuilding</t>
  </si>
  <si>
    <t>OtherassetsLandBuilding</t>
  </si>
  <si>
    <t>LandBuildingstoAssetsRatio</t>
  </si>
  <si>
    <t>MaxLandBuildingtoAssetrequirement</t>
  </si>
  <si>
    <t>Excessdeficiency2</t>
  </si>
  <si>
    <t>FinancialinvestmentstoCorecapital</t>
  </si>
  <si>
    <t>MaximumfinancialinvestmentstoCorecapital</t>
  </si>
  <si>
    <t>ExcessCoreCapital</t>
  </si>
  <si>
    <t>EquityinvestmentstoCoreCapitalRatio</t>
  </si>
  <si>
    <t>MaxfinancialinvestmentstoTotalDepositsliablitiesRatio</t>
  </si>
  <si>
    <t>ExcessEquity</t>
  </si>
  <si>
    <t>SubsidiaryrelatedentityinvestmenttoCoreCapitalRatio</t>
  </si>
  <si>
    <t>MaximumSubsidiaryinvestmenttoTotalassetsRatio</t>
  </si>
  <si>
    <t>ExcessSubsidiary</t>
  </si>
  <si>
    <t>OtherinvestmentstoCoreCapitalRatio</t>
  </si>
  <si>
    <t>MaximumOtherinvestmentstoCoreCapital</t>
  </si>
  <si>
    <t>ExcessOtherInvestment</t>
  </si>
  <si>
    <t>MaxLandBuildingtoAssetrequirementNew</t>
  </si>
  <si>
    <t>LandBuildingEquipmentNew</t>
  </si>
  <si>
    <t>Excessdeficiency3</t>
  </si>
  <si>
    <t>FORM 2E</t>
  </si>
  <si>
    <t xml:space="preserve">RETURN ON INVESTMENT </t>
  </si>
  <si>
    <t>NAME OF SACCO SOCIETY</t>
  </si>
  <si>
    <t xml:space="preserve">FINANCIAL YEAR </t>
  </si>
  <si>
    <t>START DATE:</t>
  </si>
  <si>
    <t>END DATE:</t>
  </si>
  <si>
    <t>Ref. No.</t>
  </si>
  <si>
    <t>Core Capital</t>
  </si>
  <si>
    <t>Total Assets</t>
  </si>
  <si>
    <t>Total Deposits</t>
  </si>
  <si>
    <t xml:space="preserve">Non earning assets </t>
  </si>
  <si>
    <t>Financial Assets</t>
  </si>
  <si>
    <t>1.5.1</t>
  </si>
  <si>
    <t>Subsidiary and Related Entity investments (e.g Housing ) as per Balance Sheet</t>
  </si>
  <si>
    <t>1.5.2</t>
  </si>
  <si>
    <t>Equity investment  (e.g shares bought in a legal entity ) as per Balance Sheet</t>
  </si>
  <si>
    <t>1.5.3</t>
  </si>
  <si>
    <t>Other investments (bonds,commercial paper,investment schemes)</t>
  </si>
  <si>
    <t>Other assets -Land &amp; Building, equipment  (Per balance sheet)</t>
  </si>
  <si>
    <t>Land &amp; Building  (Per balance sheet)</t>
  </si>
  <si>
    <t>Land &amp; Buildings  and Equipment to total Assets Ratio (1.9/1.2)%</t>
  </si>
  <si>
    <t>Maximum Land &amp; Building  and equipment to Total Asset requirement</t>
  </si>
  <si>
    <t>Excess (deficiency) (2.1 less 2.2)</t>
  </si>
  <si>
    <t>Land &amp; Buildings to total Assets Ratio (2.0/1.2)%</t>
  </si>
  <si>
    <t>Maximum Land &amp; Building to Total Asset requirement</t>
  </si>
  <si>
    <t>Excess (deficiency) (2.4 less 2.5)</t>
  </si>
  <si>
    <t>Financial investments to Core capital (1.5/1.1)%</t>
  </si>
  <si>
    <t>Maximum financial investments to Core capital</t>
  </si>
  <si>
    <t>Excess (deficiency) (2.7 less 2.8)</t>
  </si>
  <si>
    <t>Equity investments to Core Capital Ratio (1.7/1.1)%</t>
  </si>
  <si>
    <t>Maximum financial investments to Total Deposits liablities Ratio %</t>
  </si>
  <si>
    <t>Excess (deficiency) (3.0 less  3.1)</t>
  </si>
  <si>
    <t>Subsidiary and related entity investment to Core Capital Ratio (1.6/1.1)%</t>
  </si>
  <si>
    <t>Maximum Subsidiary investment to Total assets Ratio %</t>
  </si>
  <si>
    <t>Excess (deficiency) (3.3 less  3.4)</t>
  </si>
  <si>
    <t>Other investments to Core Capital Ratio (1.7/1.1)%</t>
  </si>
  <si>
    <t>Maximum Other investments to Core Capital  %</t>
  </si>
  <si>
    <t>Excess (deficiency) (3.6 less  3.7)</t>
  </si>
  <si>
    <t>Note:</t>
  </si>
  <si>
    <t>This return should be received on or before the 15th day of the month following the end of the year</t>
  </si>
  <si>
    <t>AUTHORIZATION</t>
  </si>
  <si>
    <t xml:space="preserve"> We declare that this return, to the best of our knowledge and belief is correct.</t>
  </si>
  <si>
    <t>sign.……..……………...………date………………..……</t>
  </si>
  <si>
    <t>Name of Authorizing Officer</t>
  </si>
  <si>
    <t>……………………………………………………...…………..sign………………………….……………..date……………………..</t>
  </si>
  <si>
    <t>Name of Countersigning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</si>
</sst>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.00_ ;_ * \-#,##0.00_ ;_ * &quot;-&quot;??_ ;_ @_ "/>
    <numFmt numFmtId="166" formatCode="0.0"/>
  </numFmts>
  <fonts count="12">
    <font>
      <sz val="11"/>
      <name val="Calibri"/>
      <charset val="134"/>
      <scheme val="minor"/>
    </font>
    <font>
      <sz val="11"/>
      <name val="Cambria"/>
      <family val="1"/>
    </font>
    <font>
      <b/>
      <sz val="11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1"/>
      <color theme="1"/>
      <name val="Cambria"/>
      <family val="1"/>
    </font>
    <font>
      <b/>
      <sz val="11"/>
      <color indexed="60"/>
      <name val="Cambria"/>
      <family val="1"/>
    </font>
    <font>
      <b/>
      <i/>
      <sz val="11"/>
      <name val="Cambria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</borders>
  <cellStyleXfs count="4">
    <xf numFmtId="0" fontId="0" fillId="0" borderId="0"/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/>
  </cellStyleXfs>
  <cellXfs count="3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2" xfId="0" applyFont="1" applyBorder="1"/>
    <xf numFmtId="0" fontId="3" fillId="0" borderId="2" xfId="0" applyFont="1" applyBorder="1" applyAlignment="1" applyProtection="1">
      <alignment horizontal="right"/>
      <protection locked="0"/>
    </xf>
    <xf numFmtId="0" fontId="1" fillId="0" borderId="3" xfId="0" applyFont="1" applyBorder="1"/>
    <xf numFmtId="0" fontId="2" fillId="0" borderId="3" xfId="0" applyFont="1" applyBorder="1"/>
    <xf numFmtId="0" fontId="3" fillId="0" borderId="3" xfId="0" applyFont="1" applyBorder="1" applyAlignment="1" applyProtection="1">
      <alignment horizontal="right"/>
      <protection locked="0"/>
    </xf>
    <xf numFmtId="164" fontId="4" fillId="0" borderId="3" xfId="1" applyNumberFormat="1" applyFont="1" applyFill="1" applyBorder="1" applyAlignment="1" applyProtection="1">
      <alignment horizontal="right"/>
      <protection locked="0"/>
    </xf>
    <xf numFmtId="0" fontId="1" fillId="0" borderId="3" xfId="0" applyFont="1" applyBorder="1" applyAlignment="1">
      <alignment wrapText="1"/>
    </xf>
    <xf numFmtId="164" fontId="4" fillId="2" borderId="3" xfId="1" applyNumberFormat="1" applyFont="1" applyFill="1" applyBorder="1" applyAlignment="1" applyProtection="1">
      <alignment horizontal="right"/>
      <protection locked="0"/>
    </xf>
    <xf numFmtId="0" fontId="1" fillId="0" borderId="3" xfId="0" applyFont="1" applyBorder="1" applyAlignment="1">
      <alignment horizontal="right"/>
    </xf>
    <xf numFmtId="166" fontId="1" fillId="0" borderId="3" xfId="0" applyNumberFormat="1" applyFont="1" applyBorder="1"/>
    <xf numFmtId="166" fontId="5" fillId="0" borderId="3" xfId="0" applyNumberFormat="1" applyFont="1" applyBorder="1"/>
    <xf numFmtId="0" fontId="5" fillId="0" borderId="3" xfId="0" applyFont="1" applyBorder="1"/>
    <xf numFmtId="166" fontId="1" fillId="0" borderId="0" xfId="0" applyNumberFormat="1" applyFont="1"/>
    <xf numFmtId="0" fontId="1" fillId="0" borderId="4" xfId="0" applyFont="1" applyBorder="1"/>
    <xf numFmtId="166" fontId="1" fillId="0" borderId="5" xfId="0" applyNumberFormat="1" applyFont="1" applyBorder="1"/>
    <xf numFmtId="0" fontId="1" fillId="0" borderId="5" xfId="0" applyFont="1" applyBorder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14" fontId="2" fillId="0" borderId="1" xfId="0" applyNumberFormat="1" applyFont="1" applyBorder="1" applyAlignment="1" applyProtection="1">
      <alignment horizontal="right"/>
      <protection locked="0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9" fontId="1" fillId="0" borderId="3" xfId="0" applyNumberFormat="1" applyFont="1" applyBorder="1" applyAlignment="1">
      <alignment horizontal="right"/>
    </xf>
    <xf numFmtId="9" fontId="1" fillId="0" borderId="3" xfId="2" applyFont="1" applyBorder="1" applyAlignment="1">
      <alignment horizontal="right"/>
    </xf>
    <xf numFmtId="9" fontId="5" fillId="0" borderId="3" xfId="2" applyFont="1" applyBorder="1" applyAlignment="1">
      <alignment horizontal="right"/>
    </xf>
    <xf numFmtId="9" fontId="1" fillId="0" borderId="3" xfId="2" applyFont="1" applyFill="1" applyBorder="1" applyAlignment="1" applyProtection="1">
      <alignment horizontal="right"/>
    </xf>
    <xf numFmtId="9" fontId="1" fillId="0" borderId="4" xfId="2" applyFont="1" applyFill="1" applyBorder="1" applyAlignment="1" applyProtection="1">
      <alignment horizontal="right"/>
    </xf>
    <xf numFmtId="9" fontId="1" fillId="0" borderId="5" xfId="2" applyFont="1" applyFill="1" applyBorder="1" applyAlignment="1" applyProtection="1">
      <alignment horizontal="right"/>
    </xf>
  </cellXfs>
  <cellStyles count="4">
    <cellStyle name="Comma" xfId="1" builtinId="3"/>
    <cellStyle name="Normal" xfId="0" builtinId="0"/>
    <cellStyle name="Normal 2 10" xfId="3" xr:uid="{00000000-0005-0000-0000-00001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AF2" insertRow="1" totalsRowShown="0">
  <autoFilter ref="A1:AF2" xr:uid="{00000000-0009-0000-0100-000001000000}"/>
  <tableColumns count="32">
    <tableColumn id="1" xr3:uid="{00000000-0010-0000-0000-000001000000}" name="AsAt"/>
    <tableColumn id="2" xr3:uid="{00000000-0010-0000-0000-000002000000}" name="StartDate"/>
    <tableColumn id="3" xr3:uid="{00000000-0010-0000-0000-000003000000}" name="FinancialYear"/>
    <tableColumn id="4" xr3:uid="{00000000-0010-0000-0000-000004000000}" name="name"/>
    <tableColumn id="5" xr3:uid="{00000000-0010-0000-0000-000005000000}" name="CoreCapital"/>
    <tableColumn id="6" xr3:uid="{00000000-0010-0000-0000-000006000000}" name="TotalAssets"/>
    <tableColumn id="7" xr3:uid="{00000000-0010-0000-0000-000007000000}" name="TotalDeposits"/>
    <tableColumn id="8" xr3:uid="{00000000-0010-0000-0000-000008000000}" name="Nonearningassets"/>
    <tableColumn id="9" xr3:uid="{00000000-0010-0000-0000-000009000000}" name="FinancialAssets"/>
    <tableColumn id="10" xr3:uid="{00000000-0010-0000-0000-00000A000000}" name="SubsidiaryandRelated"/>
    <tableColumn id="11" xr3:uid="{00000000-0010-0000-0000-00000B000000}" name="Equityinvestment"/>
    <tableColumn id="12" xr3:uid="{00000000-0010-0000-0000-00000C000000}" name="Otherinvestments"/>
    <tableColumn id="13" xr3:uid="{00000000-0010-0000-0000-00000D000000}" name="LandBuilding"/>
    <tableColumn id="14" xr3:uid="{00000000-0010-0000-0000-00000E000000}" name="OtherassetsLandBuilding"/>
    <tableColumn id="15" xr3:uid="{00000000-0010-0000-0000-00000F000000}" name="LandBuildingstoAssetsRatio"/>
    <tableColumn id="16" xr3:uid="{00000000-0010-0000-0000-000010000000}" name="MaxLandBuildingtoAssetrequirement"/>
    <tableColumn id="17" xr3:uid="{00000000-0010-0000-0000-000011000000}" name="Excessdeficiency2"/>
    <tableColumn id="18" xr3:uid="{00000000-0010-0000-0000-000012000000}" name="FinancialinvestmentstoCorecapital"/>
    <tableColumn id="19" xr3:uid="{00000000-0010-0000-0000-000013000000}" name="MaximumfinancialinvestmentstoCorecapital"/>
    <tableColumn id="20" xr3:uid="{00000000-0010-0000-0000-000014000000}" name="ExcessCoreCapital"/>
    <tableColumn id="21" xr3:uid="{00000000-0010-0000-0000-000015000000}" name="EquityinvestmentstoCoreCapitalRatio"/>
    <tableColumn id="22" xr3:uid="{00000000-0010-0000-0000-000016000000}" name="MaxfinancialinvestmentstoTotalDepositsliablitiesRatio"/>
    <tableColumn id="23" xr3:uid="{00000000-0010-0000-0000-000017000000}" name="ExcessEquity"/>
    <tableColumn id="24" xr3:uid="{00000000-0010-0000-0000-000018000000}" name="SubsidiaryrelatedentityinvestmenttoCoreCapitalRatio"/>
    <tableColumn id="25" xr3:uid="{00000000-0010-0000-0000-000019000000}" name="MaximumSubsidiaryinvestmenttoTotalassetsRatio"/>
    <tableColumn id="26" xr3:uid="{00000000-0010-0000-0000-00001A000000}" name="ExcessSubsidiary"/>
    <tableColumn id="27" xr3:uid="{00000000-0010-0000-0000-00001B000000}" name="OtherinvestmentstoCoreCapitalRatio"/>
    <tableColumn id="28" xr3:uid="{00000000-0010-0000-0000-00001C000000}" name="MaximumOtherinvestmentstoCoreCapital"/>
    <tableColumn id="29" xr3:uid="{00000000-0010-0000-0000-00001D000000}" name="ExcessOtherInvestment"/>
    <tableColumn id="30" xr3:uid="{00000000-0010-0000-0000-00001E000000}" name="MaxLandBuildingtoAssetrequirementNew"/>
    <tableColumn id="31" xr3:uid="{00000000-0010-0000-0000-00001F000000}" name="LandBuildingEquipmentNew"/>
    <tableColumn id="32" xr3:uid="{00000000-0010-0000-0000-000020000000}" name="Excessdeficiency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workbookViewId="0">
      <pane ySplit="1" topLeftCell="A2" activePane="bottomLeft" state="frozen"/>
      <selection pane="bottomLeft"/>
    </sheetView>
  </sheetViews>
  <sheetFormatPr defaultColWidth="9" defaultRowHeight="14.5"/>
  <cols>
    <col min="1" max="1" width="18.453125" customWidth="1"/>
    <col min="13" max="13" width="13.453125" customWidth="1"/>
    <col min="14" max="14" width="25.26953125" customWidth="1"/>
    <col min="15" max="15" width="28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tabSelected="1" workbookViewId="0">
      <selection activeCell="F14" sqref="F14"/>
    </sheetView>
  </sheetViews>
  <sheetFormatPr defaultColWidth="9.1796875" defaultRowHeight="14.5"/>
  <cols>
    <col min="2" max="2" width="96.7265625" customWidth="1"/>
    <col min="3" max="3" width="12.453125" bestFit="1" customWidth="1"/>
  </cols>
  <sheetData>
    <row r="1" spans="1:3">
      <c r="A1" s="1"/>
      <c r="B1" s="2" t="s">
        <v>32</v>
      </c>
      <c r="C1" s="3"/>
    </row>
    <row r="2" spans="1:3">
      <c r="A2" s="1"/>
      <c r="B2" s="29" t="s">
        <v>33</v>
      </c>
      <c r="C2" s="29"/>
    </row>
    <row r="3" spans="1:3" ht="15.5">
      <c r="A3" s="4"/>
      <c r="B3" s="5" t="s">
        <v>34</v>
      </c>
      <c r="C3" s="6">
        <f>Data[name]</f>
        <v>0</v>
      </c>
    </row>
    <row r="4" spans="1:3" ht="15.5">
      <c r="A4" s="7"/>
      <c r="B4" s="8" t="s">
        <v>35</v>
      </c>
      <c r="C4" s="9">
        <f>Data[FinancialYear]</f>
        <v>0</v>
      </c>
    </row>
    <row r="5" spans="1:3">
      <c r="A5" s="7"/>
      <c r="B5" s="8" t="s">
        <v>36</v>
      </c>
      <c r="C5" s="28">
        <f>Data[StartDate]</f>
        <v>0</v>
      </c>
    </row>
    <row r="6" spans="1:3">
      <c r="A6" s="7"/>
      <c r="B6" s="8" t="s">
        <v>37</v>
      </c>
      <c r="C6" s="28">
        <f>Data[AsAt]</f>
        <v>0</v>
      </c>
    </row>
    <row r="7" spans="1:3">
      <c r="A7" s="7" t="s">
        <v>38</v>
      </c>
      <c r="B7" s="8"/>
      <c r="C7" s="8"/>
    </row>
    <row r="8" spans="1:3" ht="15.5">
      <c r="A8" s="7">
        <v>1.1000000000000001</v>
      </c>
      <c r="B8" s="7" t="s">
        <v>39</v>
      </c>
      <c r="C8" s="10">
        <f>SUM(Data!E2)</f>
        <v>0</v>
      </c>
    </row>
    <row r="9" spans="1:3" ht="15.5">
      <c r="A9" s="7">
        <v>1.2</v>
      </c>
      <c r="B9" s="7" t="s">
        <v>40</v>
      </c>
      <c r="C9" s="10">
        <f>SUM(Data!F2)</f>
        <v>0</v>
      </c>
    </row>
    <row r="10" spans="1:3" ht="15.5">
      <c r="A10" s="7">
        <v>1.3</v>
      </c>
      <c r="B10" s="7" t="s">
        <v>41</v>
      </c>
      <c r="C10" s="10">
        <f>SUM(Data!G2)</f>
        <v>0</v>
      </c>
    </row>
    <row r="11" spans="1:3" ht="14" customHeight="1">
      <c r="A11" s="7">
        <v>1.4</v>
      </c>
      <c r="B11" s="11" t="s">
        <v>42</v>
      </c>
      <c r="C11" s="10">
        <f>SUM(Data!H2)</f>
        <v>0</v>
      </c>
    </row>
    <row r="12" spans="1:3" ht="15.5">
      <c r="A12" s="7">
        <v>1.5</v>
      </c>
      <c r="B12" s="8" t="s">
        <v>43</v>
      </c>
      <c r="C12" s="12">
        <f>C13+C14+C15</f>
        <v>0</v>
      </c>
    </row>
    <row r="13" spans="1:3" ht="15.5">
      <c r="A13" s="13" t="s">
        <v>44</v>
      </c>
      <c r="B13" s="7" t="s">
        <v>45</v>
      </c>
      <c r="C13" s="10">
        <f>SUM(Data!J2)</f>
        <v>0</v>
      </c>
    </row>
    <row r="14" spans="1:3" ht="15.5">
      <c r="A14" s="13" t="s">
        <v>46</v>
      </c>
      <c r="B14" s="7" t="s">
        <v>47</v>
      </c>
      <c r="C14" s="10">
        <f>SUM(Data!K2)</f>
        <v>0</v>
      </c>
    </row>
    <row r="15" spans="1:3" ht="15.5">
      <c r="A15" s="13" t="s">
        <v>48</v>
      </c>
      <c r="B15" s="7" t="s">
        <v>49</v>
      </c>
      <c r="C15" s="10">
        <f>SUM(Data!L2)</f>
        <v>0</v>
      </c>
    </row>
    <row r="16" spans="1:3" ht="15.5">
      <c r="A16" s="7">
        <v>1.6</v>
      </c>
      <c r="B16" s="7" t="s">
        <v>50</v>
      </c>
      <c r="C16" s="10">
        <f>SUM(Data!L2)</f>
        <v>0</v>
      </c>
    </row>
    <row r="17" spans="1:3" ht="15.5">
      <c r="A17" s="14">
        <v>1.7</v>
      </c>
      <c r="B17" s="7" t="s">
        <v>51</v>
      </c>
      <c r="C17" s="10">
        <f>SUM(Data!M2)</f>
        <v>0</v>
      </c>
    </row>
    <row r="18" spans="1:3" ht="15.5">
      <c r="A18" s="7"/>
      <c r="B18" s="7"/>
      <c r="C18" s="10"/>
    </row>
    <row r="19" spans="1:3">
      <c r="A19" s="14">
        <v>1.8</v>
      </c>
      <c r="B19" s="7" t="s">
        <v>52</v>
      </c>
      <c r="C19" s="31" t="e">
        <f>C16/C9</f>
        <v>#DIV/0!</v>
      </c>
    </row>
    <row r="20" spans="1:3" ht="24" customHeight="1">
      <c r="A20" s="7">
        <v>1.9</v>
      </c>
      <c r="B20" s="11" t="s">
        <v>53</v>
      </c>
      <c r="C20" s="31">
        <v>0.1</v>
      </c>
    </row>
    <row r="21" spans="1:3">
      <c r="A21" s="14">
        <v>2</v>
      </c>
      <c r="B21" s="7" t="s">
        <v>54</v>
      </c>
      <c r="C21" s="31" t="e">
        <f>C19-C20</f>
        <v>#DIV/0!</v>
      </c>
    </row>
    <row r="22" spans="1:3">
      <c r="A22" s="14"/>
      <c r="B22" s="7"/>
      <c r="C22" s="31"/>
    </row>
    <row r="23" spans="1:3">
      <c r="A23" s="14">
        <v>2.1</v>
      </c>
      <c r="B23" s="7" t="s">
        <v>55</v>
      </c>
      <c r="C23" s="32" t="e">
        <f>C17/C9</f>
        <v>#DIV/0!</v>
      </c>
    </row>
    <row r="24" spans="1:3">
      <c r="A24" s="14">
        <v>2.2000000000000002</v>
      </c>
      <c r="B24" s="7" t="s">
        <v>56</v>
      </c>
      <c r="C24" s="31">
        <v>0.05</v>
      </c>
    </row>
    <row r="25" spans="1:3">
      <c r="A25" s="14">
        <v>2.2999999999999998</v>
      </c>
      <c r="B25" s="7" t="s">
        <v>57</v>
      </c>
      <c r="C25" s="32" t="e">
        <f>C23-C24</f>
        <v>#DIV/0!</v>
      </c>
    </row>
    <row r="26" spans="1:3">
      <c r="A26" s="14"/>
      <c r="B26" s="7"/>
      <c r="C26" s="31"/>
    </row>
    <row r="27" spans="1:3">
      <c r="A27" s="15">
        <v>2.4</v>
      </c>
      <c r="B27" s="16" t="s">
        <v>58</v>
      </c>
      <c r="C27" s="33" t="e">
        <f>C12/C8</f>
        <v>#DIV/0!</v>
      </c>
    </row>
    <row r="28" spans="1:3">
      <c r="A28" s="14">
        <v>2.5</v>
      </c>
      <c r="B28" s="7" t="s">
        <v>59</v>
      </c>
      <c r="C28" s="31">
        <v>0.4</v>
      </c>
    </row>
    <row r="29" spans="1:3">
      <c r="A29" s="14">
        <v>2.6</v>
      </c>
      <c r="B29" s="7" t="s">
        <v>60</v>
      </c>
      <c r="C29" s="32" t="e">
        <f>C27-C28</f>
        <v>#DIV/0!</v>
      </c>
    </row>
    <row r="30" spans="1:3">
      <c r="A30" s="14"/>
      <c r="B30" s="7"/>
      <c r="C30" s="31"/>
    </row>
    <row r="31" spans="1:3" ht="18" customHeight="1">
      <c r="A31" s="14">
        <v>2.7</v>
      </c>
      <c r="B31" s="11" t="s">
        <v>61</v>
      </c>
      <c r="C31" s="32" t="e">
        <f>C14/C8</f>
        <v>#DIV/0!</v>
      </c>
    </row>
    <row r="32" spans="1:3">
      <c r="A32" s="14">
        <v>2.8</v>
      </c>
      <c r="B32" s="11" t="s">
        <v>62</v>
      </c>
      <c r="C32" s="34">
        <v>0.2</v>
      </c>
    </row>
    <row r="33" spans="1:3">
      <c r="A33" s="14">
        <v>2.9</v>
      </c>
      <c r="B33" s="7" t="s">
        <v>63</v>
      </c>
      <c r="C33" s="34" t="e">
        <f>C31-C32</f>
        <v>#DIV/0!</v>
      </c>
    </row>
    <row r="34" spans="1:3">
      <c r="A34" s="14"/>
      <c r="B34" s="7"/>
      <c r="C34" s="34"/>
    </row>
    <row r="35" spans="1:3">
      <c r="A35" s="14">
        <v>3</v>
      </c>
      <c r="B35" s="7" t="s">
        <v>64</v>
      </c>
      <c r="C35" s="34" t="e">
        <f>C13/C8</f>
        <v>#DIV/0!</v>
      </c>
    </row>
    <row r="36" spans="1:3">
      <c r="A36" s="14">
        <v>3.1</v>
      </c>
      <c r="B36" s="7" t="s">
        <v>65</v>
      </c>
      <c r="C36" s="34">
        <v>0.5</v>
      </c>
    </row>
    <row r="37" spans="1:3">
      <c r="A37" s="14">
        <v>3.2</v>
      </c>
      <c r="B37" s="7" t="s">
        <v>66</v>
      </c>
      <c r="C37" s="34" t="e">
        <f>C35-C36</f>
        <v>#DIV/0!</v>
      </c>
    </row>
    <row r="38" spans="1:3">
      <c r="A38" s="17"/>
      <c r="B38" s="18"/>
      <c r="C38" s="35"/>
    </row>
    <row r="39" spans="1:3" ht="18" customHeight="1">
      <c r="A39" s="14">
        <v>3.3</v>
      </c>
      <c r="B39" s="11" t="s">
        <v>67</v>
      </c>
      <c r="C39" s="32" t="e">
        <f>C21/C19</f>
        <v>#DIV/0!</v>
      </c>
    </row>
    <row r="40" spans="1:3">
      <c r="A40" s="14">
        <v>3.4</v>
      </c>
      <c r="B40" s="11" t="s">
        <v>68</v>
      </c>
      <c r="C40" s="34">
        <v>0.3</v>
      </c>
    </row>
    <row r="41" spans="1:3">
      <c r="A41" s="19">
        <v>3.5</v>
      </c>
      <c r="B41" s="20" t="s">
        <v>69</v>
      </c>
      <c r="C41" s="36" t="e">
        <f>C39-C40</f>
        <v>#DIV/0!</v>
      </c>
    </row>
    <row r="42" spans="1:3">
      <c r="A42" s="21" t="s">
        <v>70</v>
      </c>
      <c r="B42" s="30" t="s">
        <v>71</v>
      </c>
      <c r="C42" s="30"/>
    </row>
    <row r="43" spans="1:3">
      <c r="A43" s="22"/>
      <c r="B43" s="30"/>
      <c r="C43" s="30"/>
    </row>
    <row r="44" spans="1:3">
      <c r="A44" s="22"/>
      <c r="B44" s="23"/>
      <c r="C44" s="22"/>
    </row>
    <row r="45" spans="1:3">
      <c r="A45" s="22"/>
      <c r="B45" s="23"/>
      <c r="C45" s="22"/>
    </row>
    <row r="46" spans="1:3">
      <c r="A46" s="22"/>
      <c r="B46" s="24" t="s">
        <v>72</v>
      </c>
      <c r="C46" s="25"/>
    </row>
    <row r="47" spans="1:3">
      <c r="A47" s="22"/>
      <c r="B47" s="26" t="s">
        <v>73</v>
      </c>
      <c r="C47" s="26"/>
    </row>
    <row r="48" spans="1:3">
      <c r="A48" s="1"/>
      <c r="B48" s="26" t="s">
        <v>74</v>
      </c>
      <c r="C48" s="26"/>
    </row>
    <row r="49" spans="1:3">
      <c r="A49" s="1"/>
      <c r="B49" s="27" t="s">
        <v>75</v>
      </c>
      <c r="C49" s="26"/>
    </row>
    <row r="50" spans="1:3">
      <c r="A50" s="1"/>
      <c r="B50" s="26" t="s">
        <v>76</v>
      </c>
      <c r="C50" s="26"/>
    </row>
    <row r="51" spans="1:3">
      <c r="A51" s="1"/>
      <c r="B51" s="27" t="s">
        <v>77</v>
      </c>
      <c r="C51" s="26"/>
    </row>
  </sheetData>
  <mergeCells count="2">
    <mergeCell ref="B2:C2"/>
    <mergeCell ref="B42:C43"/>
  </mergeCells>
  <dataValidations count="1">
    <dataValidation type="textLength" showInputMessage="1" showErrorMessage="1" errorTitle="Error message" error="enter start date" promptTitle="Start Date" prompt="Start Date of the Year" sqref="C5:C6" xr:uid="{00000000-0002-0000-0100-000001000000}">
      <formula1>0</formula1>
      <formula2>1028</formula2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Return On Investment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MUISYO</cp:lastModifiedBy>
  <dcterms:created xsi:type="dcterms:W3CDTF">2022-11-15T10:06:34Z</dcterms:created>
  <dcterms:modified xsi:type="dcterms:W3CDTF">2024-04-15T14:16:07Z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55610D73AA3942129D079737835C5675</vt:lpwstr>
  </property>
  <property fmtid="{D5CDD505-2E9C-101B-9397-08002B2CF9AE}" pid="3" name="KSOProductBuildVer">
    <vt:lpwstr>1033-11.2.0.11380</vt:lpwstr>
  </property>
</Properties>
</file>